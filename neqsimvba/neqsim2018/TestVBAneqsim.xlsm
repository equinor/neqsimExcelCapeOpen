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llu\OneDrive - Statoil ASA\Programming\neqsimVBAExcel\"/>
    </mc:Choice>
  </mc:AlternateContent>
  <xr:revisionPtr revIDLastSave="0" documentId="10_ncr:100000_{55039C5B-827F-4B89-A6BF-97C6863246BB}" xr6:coauthVersionLast="31" xr6:coauthVersionMax="31" xr10:uidLastSave="{00000000-0000-0000-0000-000000000000}"/>
  <bookViews>
    <workbookView xWindow="0" yWindow="0" windowWidth="28800" windowHeight="12228" xr2:uid="{DEDFD768-1505-4493-8622-0266F6288E92}"/>
  </bookViews>
  <sheets>
    <sheet name="Sheet1" sheetId="1" r:id="rId1"/>
  </sheets>
  <functionGroups builtInGroupCount="19"/>
  <definedNames>
    <definedName name="compositionRange">Sheet1!$B$4:$B$19</definedName>
    <definedName name="compRange">Sheet1!$B$4:$B$13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N14" i="1"/>
  <c r="J14" i="1"/>
  <c r="P14" i="1"/>
  <c r="F14" i="1"/>
  <c r="Q14" i="1"/>
  <c r="L14" i="1"/>
  <c r="M14" i="1"/>
  <c r="G14" i="1"/>
  <c r="T14" i="1"/>
  <c r="H14" i="1"/>
  <c r="O14" i="1"/>
  <c r="S14" i="1"/>
  <c r="K14" i="1"/>
  <c r="R14" i="1"/>
  <c r="I14" i="1"/>
  <c r="E16" i="1" l="1"/>
  <c r="D15" i="1"/>
  <c r="F15" i="1"/>
  <c r="P15" i="1"/>
  <c r="R15" i="1"/>
  <c r="H15" i="1"/>
  <c r="L15" i="1"/>
  <c r="J15" i="1"/>
  <c r="O15" i="1"/>
  <c r="S15" i="1"/>
  <c r="N15" i="1"/>
  <c r="M15" i="1"/>
  <c r="K15" i="1"/>
  <c r="T15" i="1"/>
  <c r="G15" i="1"/>
  <c r="Q15" i="1"/>
  <c r="I15" i="1"/>
  <c r="E17" i="1" l="1"/>
  <c r="D16" i="1"/>
  <c r="T16" i="1"/>
  <c r="O16" i="1"/>
  <c r="H16" i="1"/>
  <c r="Q16" i="1"/>
  <c r="K16" i="1"/>
  <c r="F16" i="1"/>
  <c r="I16" i="1"/>
  <c r="R16" i="1"/>
  <c r="M16" i="1"/>
  <c r="G16" i="1"/>
  <c r="L16" i="1"/>
  <c r="N16" i="1"/>
  <c r="P16" i="1"/>
  <c r="J16" i="1"/>
  <c r="S16" i="1"/>
  <c r="E18" i="1" l="1"/>
  <c r="D17" i="1"/>
  <c r="P17" i="1"/>
  <c r="K17" i="1"/>
  <c r="J17" i="1"/>
  <c r="G17" i="1"/>
  <c r="M17" i="1"/>
  <c r="S17" i="1"/>
  <c r="L17" i="1"/>
  <c r="I17" i="1"/>
  <c r="F17" i="1"/>
  <c r="T17" i="1"/>
  <c r="R17" i="1"/>
  <c r="N17" i="1"/>
  <c r="Q17" i="1"/>
  <c r="O17" i="1"/>
  <c r="H17" i="1"/>
  <c r="E19" i="1" l="1"/>
  <c r="D18" i="1"/>
  <c r="O18" i="1"/>
  <c r="S18" i="1"/>
  <c r="L18" i="1"/>
  <c r="J18" i="1"/>
  <c r="H18" i="1"/>
  <c r="R18" i="1"/>
  <c r="M18" i="1"/>
  <c r="Q18" i="1"/>
  <c r="K18" i="1"/>
  <c r="N18" i="1"/>
  <c r="I18" i="1"/>
  <c r="G18" i="1"/>
  <c r="F18" i="1"/>
  <c r="T18" i="1"/>
  <c r="P18" i="1"/>
  <c r="E20" i="1" l="1"/>
  <c r="D19" i="1"/>
  <c r="G19" i="1"/>
  <c r="K19" i="1"/>
  <c r="J19" i="1"/>
  <c r="O19" i="1"/>
  <c r="S19" i="1"/>
  <c r="P19" i="1"/>
  <c r="H19" i="1"/>
  <c r="I19" i="1"/>
  <c r="R19" i="1"/>
  <c r="Q19" i="1"/>
  <c r="T19" i="1"/>
  <c r="N19" i="1"/>
  <c r="L19" i="1"/>
  <c r="M19" i="1"/>
  <c r="F19" i="1"/>
  <c r="E21" i="1" l="1"/>
  <c r="D20" i="1"/>
  <c r="Q20" i="1"/>
  <c r="J20" i="1"/>
  <c r="L20" i="1"/>
  <c r="K20" i="1"/>
  <c r="M20" i="1"/>
  <c r="O20" i="1"/>
  <c r="H20" i="1"/>
  <c r="S20" i="1"/>
  <c r="N20" i="1"/>
  <c r="G20" i="1"/>
  <c r="P20" i="1"/>
  <c r="I20" i="1"/>
  <c r="T20" i="1"/>
  <c r="F20" i="1"/>
  <c r="R20" i="1"/>
  <c r="E22" i="1" l="1"/>
  <c r="D21" i="1"/>
  <c r="H21" i="1"/>
  <c r="M21" i="1"/>
  <c r="P21" i="1"/>
  <c r="I21" i="1"/>
  <c r="L21" i="1"/>
  <c r="R21" i="1"/>
  <c r="T21" i="1"/>
  <c r="Q21" i="1"/>
  <c r="F21" i="1"/>
  <c r="S21" i="1"/>
  <c r="K21" i="1"/>
  <c r="G21" i="1"/>
  <c r="N21" i="1"/>
  <c r="J21" i="1"/>
  <c r="O21" i="1"/>
  <c r="E23" i="1" l="1"/>
  <c r="D22" i="1"/>
  <c r="M22" i="1"/>
  <c r="T22" i="1"/>
  <c r="J22" i="1"/>
  <c r="H22" i="1"/>
  <c r="L22" i="1"/>
  <c r="N22" i="1"/>
  <c r="O22" i="1"/>
  <c r="G22" i="1"/>
  <c r="I22" i="1"/>
  <c r="R22" i="1"/>
  <c r="P22" i="1"/>
  <c r="F22" i="1"/>
  <c r="S22" i="1"/>
  <c r="Q22" i="1"/>
  <c r="K22" i="1"/>
  <c r="E24" i="1" l="1"/>
  <c r="D23" i="1"/>
  <c r="G23" i="1"/>
  <c r="T23" i="1"/>
  <c r="L23" i="1"/>
  <c r="J23" i="1"/>
  <c r="P23" i="1"/>
  <c r="H23" i="1"/>
  <c r="S23" i="1"/>
  <c r="O23" i="1"/>
  <c r="M23" i="1"/>
  <c r="R23" i="1"/>
  <c r="K23" i="1"/>
  <c r="Q23" i="1"/>
  <c r="N23" i="1"/>
  <c r="I23" i="1"/>
  <c r="F23" i="1"/>
  <c r="E25" i="1" l="1"/>
  <c r="D24" i="1"/>
  <c r="H24" i="1"/>
  <c r="K24" i="1"/>
  <c r="J24" i="1"/>
  <c r="F24" i="1"/>
  <c r="Q24" i="1"/>
  <c r="I24" i="1"/>
  <c r="L24" i="1"/>
  <c r="O24" i="1"/>
  <c r="M24" i="1"/>
  <c r="S24" i="1"/>
  <c r="G24" i="1"/>
  <c r="P24" i="1"/>
  <c r="T24" i="1"/>
  <c r="R24" i="1"/>
  <c r="N24" i="1"/>
  <c r="E26" i="1" l="1"/>
  <c r="D25" i="1"/>
  <c r="N25" i="1"/>
  <c r="L25" i="1"/>
  <c r="K25" i="1"/>
  <c r="I25" i="1"/>
  <c r="P25" i="1"/>
  <c r="H25" i="1"/>
  <c r="R25" i="1"/>
  <c r="G25" i="1"/>
  <c r="S25" i="1"/>
  <c r="O25" i="1"/>
  <c r="J25" i="1"/>
  <c r="M25" i="1"/>
  <c r="Q25" i="1"/>
  <c r="T25" i="1"/>
  <c r="F25" i="1"/>
  <c r="E27" i="1" l="1"/>
  <c r="D26" i="1"/>
  <c r="O26" i="1"/>
  <c r="T26" i="1"/>
  <c r="K26" i="1"/>
  <c r="H26" i="1"/>
  <c r="J26" i="1"/>
  <c r="S26" i="1"/>
  <c r="P26" i="1"/>
  <c r="L26" i="1"/>
  <c r="Q26" i="1"/>
  <c r="I26" i="1"/>
  <c r="N26" i="1"/>
  <c r="G26" i="1"/>
  <c r="F26" i="1"/>
  <c r="M26" i="1"/>
  <c r="R26" i="1"/>
  <c r="E28" i="1" l="1"/>
  <c r="D27" i="1"/>
  <c r="P27" i="1"/>
  <c r="R27" i="1"/>
  <c r="F27" i="1"/>
  <c r="L27" i="1"/>
  <c r="G27" i="1"/>
  <c r="S27" i="1"/>
  <c r="N27" i="1"/>
  <c r="I27" i="1"/>
  <c r="H27" i="1"/>
  <c r="Q27" i="1"/>
  <c r="O27" i="1"/>
  <c r="K27" i="1"/>
  <c r="T27" i="1"/>
  <c r="M27" i="1"/>
  <c r="J27" i="1"/>
  <c r="E29" i="1" l="1"/>
  <c r="D28" i="1"/>
  <c r="L28" i="1"/>
  <c r="S28" i="1"/>
  <c r="I28" i="1"/>
  <c r="F28" i="1"/>
  <c r="Q28" i="1"/>
  <c r="N28" i="1"/>
  <c r="K28" i="1"/>
  <c r="H28" i="1"/>
  <c r="M28" i="1"/>
  <c r="R28" i="1"/>
  <c r="J28" i="1"/>
  <c r="P28" i="1"/>
  <c r="T28" i="1"/>
  <c r="G28" i="1"/>
  <c r="O28" i="1"/>
  <c r="D29" i="1" l="1"/>
  <c r="E30" i="1"/>
  <c r="P29" i="1"/>
  <c r="G29" i="1"/>
  <c r="H29" i="1"/>
  <c r="R29" i="1"/>
  <c r="S29" i="1"/>
  <c r="F29" i="1"/>
  <c r="N29" i="1"/>
  <c r="M29" i="1"/>
  <c r="Q29" i="1"/>
  <c r="I29" i="1"/>
  <c r="T29" i="1"/>
  <c r="O29" i="1"/>
  <c r="L29" i="1"/>
  <c r="J29" i="1"/>
  <c r="K29" i="1"/>
  <c r="D30" i="1" l="1"/>
  <c r="E31" i="1"/>
  <c r="T30" i="1"/>
  <c r="R30" i="1"/>
  <c r="P30" i="1"/>
  <c r="L30" i="1"/>
  <c r="Q30" i="1"/>
  <c r="K30" i="1"/>
  <c r="H30" i="1"/>
  <c r="O30" i="1"/>
  <c r="J30" i="1"/>
  <c r="N30" i="1"/>
  <c r="S30" i="1"/>
  <c r="F30" i="1"/>
  <c r="G30" i="1"/>
  <c r="M30" i="1"/>
  <c r="I30" i="1"/>
  <c r="E32" i="1" l="1"/>
  <c r="D31" i="1"/>
  <c r="T31" i="1"/>
  <c r="L31" i="1"/>
  <c r="J31" i="1"/>
  <c r="R31" i="1"/>
  <c r="O31" i="1"/>
  <c r="M31" i="1"/>
  <c r="H31" i="1"/>
  <c r="G31" i="1"/>
  <c r="N31" i="1"/>
  <c r="S31" i="1"/>
  <c r="I31" i="1"/>
  <c r="K31" i="1"/>
  <c r="F31" i="1"/>
  <c r="P31" i="1"/>
  <c r="Q31" i="1"/>
  <c r="D32" i="1" l="1"/>
  <c r="E33" i="1"/>
  <c r="T32" i="1"/>
  <c r="K32" i="1"/>
  <c r="S32" i="1"/>
  <c r="M32" i="1"/>
  <c r="L32" i="1"/>
  <c r="F32" i="1"/>
  <c r="P32" i="1"/>
  <c r="I32" i="1"/>
  <c r="H32" i="1"/>
  <c r="G32" i="1"/>
  <c r="N32" i="1"/>
  <c r="J32" i="1"/>
  <c r="R32" i="1"/>
  <c r="Q32" i="1"/>
  <c r="O32" i="1"/>
  <c r="D33" i="1" l="1"/>
  <c r="E34" i="1"/>
  <c r="Q33" i="1"/>
  <c r="K33" i="1"/>
  <c r="M33" i="1"/>
  <c r="H33" i="1"/>
  <c r="R33" i="1"/>
  <c r="L33" i="1"/>
  <c r="I33" i="1"/>
  <c r="T33" i="1"/>
  <c r="N33" i="1"/>
  <c r="S33" i="1"/>
  <c r="J33" i="1"/>
  <c r="G33" i="1"/>
  <c r="P33" i="1"/>
  <c r="F33" i="1"/>
  <c r="O33" i="1"/>
  <c r="E35" i="1" l="1"/>
  <c r="D34" i="1"/>
  <c r="O34" i="1"/>
  <c r="L34" i="1"/>
  <c r="H34" i="1"/>
  <c r="F34" i="1"/>
  <c r="Q34" i="1"/>
  <c r="I34" i="1"/>
  <c r="P34" i="1"/>
  <c r="T34" i="1"/>
  <c r="G34" i="1"/>
  <c r="M34" i="1"/>
  <c r="K34" i="1"/>
  <c r="N34" i="1"/>
  <c r="S34" i="1"/>
  <c r="J34" i="1"/>
  <c r="R34" i="1"/>
  <c r="D35" i="1" l="1"/>
  <c r="E36" i="1"/>
  <c r="G35" i="1"/>
  <c r="Q35" i="1"/>
  <c r="S35" i="1"/>
  <c r="F35" i="1"/>
  <c r="L35" i="1"/>
  <c r="K35" i="1"/>
  <c r="I35" i="1"/>
  <c r="O35" i="1"/>
  <c r="R35" i="1"/>
  <c r="N35" i="1"/>
  <c r="H35" i="1"/>
  <c r="M35" i="1"/>
  <c r="T35" i="1"/>
  <c r="P35" i="1"/>
  <c r="J35" i="1"/>
  <c r="E37" i="1" l="1"/>
  <c r="D36" i="1"/>
  <c r="L36" i="1"/>
  <c r="N36" i="1"/>
  <c r="P36" i="1"/>
  <c r="J36" i="1"/>
  <c r="S36" i="1"/>
  <c r="M36" i="1"/>
  <c r="I36" i="1"/>
  <c r="O36" i="1"/>
  <c r="Q36" i="1"/>
  <c r="G36" i="1"/>
  <c r="F36" i="1"/>
  <c r="H36" i="1"/>
  <c r="R36" i="1"/>
  <c r="T36" i="1"/>
  <c r="K36" i="1"/>
  <c r="D37" i="1" l="1"/>
  <c r="E38" i="1"/>
  <c r="T37" i="1"/>
  <c r="G37" i="1"/>
  <c r="S37" i="1"/>
  <c r="F37" i="1"/>
  <c r="H37" i="1"/>
  <c r="R37" i="1"/>
  <c r="P37" i="1"/>
  <c r="K37" i="1"/>
  <c r="L37" i="1"/>
  <c r="N37" i="1"/>
  <c r="O37" i="1"/>
  <c r="J37" i="1"/>
  <c r="M37" i="1"/>
  <c r="I37" i="1"/>
  <c r="Q37" i="1"/>
  <c r="E39" i="1" l="1"/>
  <c r="D38" i="1"/>
  <c r="L38" i="1"/>
  <c r="N38" i="1"/>
  <c r="F38" i="1"/>
  <c r="J38" i="1"/>
  <c r="O38" i="1"/>
  <c r="I38" i="1"/>
  <c r="T38" i="1"/>
  <c r="K38" i="1"/>
  <c r="M38" i="1"/>
  <c r="H38" i="1"/>
  <c r="S38" i="1"/>
  <c r="Q38" i="1"/>
  <c r="R38" i="1"/>
  <c r="P38" i="1"/>
  <c r="G38" i="1"/>
  <c r="E40" i="1" l="1"/>
  <c r="D39" i="1"/>
  <c r="T39" i="1"/>
  <c r="R39" i="1"/>
  <c r="J39" i="1"/>
  <c r="O39" i="1"/>
  <c r="N39" i="1"/>
  <c r="F39" i="1"/>
  <c r="Q39" i="1"/>
  <c r="H39" i="1"/>
  <c r="M39" i="1"/>
  <c r="G39" i="1"/>
  <c r="L39" i="1"/>
  <c r="K39" i="1"/>
  <c r="S39" i="1"/>
  <c r="P39" i="1"/>
  <c r="I39" i="1"/>
  <c r="D40" i="1" l="1"/>
  <c r="E41" i="1"/>
  <c r="P40" i="1"/>
  <c r="N40" i="1"/>
  <c r="J40" i="1"/>
  <c r="R40" i="1"/>
  <c r="K40" i="1"/>
  <c r="M40" i="1"/>
  <c r="G40" i="1"/>
  <c r="I40" i="1"/>
  <c r="H40" i="1"/>
  <c r="L40" i="1"/>
  <c r="O40" i="1"/>
  <c r="F40" i="1"/>
  <c r="Q40" i="1"/>
  <c r="S40" i="1"/>
  <c r="T40" i="1"/>
  <c r="D41" i="1" l="1"/>
  <c r="E42" i="1"/>
  <c r="T41" i="1"/>
  <c r="N41" i="1"/>
  <c r="L41" i="1"/>
  <c r="H41" i="1"/>
  <c r="R41" i="1"/>
  <c r="F41" i="1"/>
  <c r="K41" i="1"/>
  <c r="G41" i="1"/>
  <c r="O41" i="1"/>
  <c r="J41" i="1"/>
  <c r="S41" i="1"/>
  <c r="I41" i="1"/>
  <c r="P41" i="1"/>
  <c r="Q41" i="1"/>
  <c r="M41" i="1"/>
  <c r="D42" i="1" l="1"/>
  <c r="H42" i="1"/>
  <c r="Q42" i="1"/>
  <c r="F42" i="1"/>
  <c r="K42" i="1"/>
  <c r="T42" i="1"/>
  <c r="M42" i="1"/>
  <c r="P42" i="1"/>
  <c r="S42" i="1"/>
  <c r="O42" i="1"/>
  <c r="R42" i="1"/>
  <c r="J42" i="1"/>
  <c r="G42" i="1"/>
  <c r="L42" i="1"/>
  <c r="N42" i="1"/>
  <c r="I42" i="1"/>
</calcChain>
</file>

<file path=xl/sharedStrings.xml><?xml version="1.0" encoding="utf-8"?>
<sst xmlns="http://schemas.openxmlformats.org/spreadsheetml/2006/main" count="35" uniqueCount="35">
  <si>
    <t>Composition</t>
  </si>
  <si>
    <t>methane</t>
  </si>
  <si>
    <t>enthalpy [kJ/kg]</t>
  </si>
  <si>
    <t>entropy [kJ/kgK]</t>
  </si>
  <si>
    <t>Mw (kg/kmol)</t>
  </si>
  <si>
    <t>Cp[kJ/kgK]</t>
  </si>
  <si>
    <t>Cv [kJ/kgK]</t>
  </si>
  <si>
    <t>viscosity[kg/m*sec]</t>
  </si>
  <si>
    <t>conductivity[W/m*K]</t>
  </si>
  <si>
    <t>phase fraction [-]</t>
  </si>
  <si>
    <t>internal energy [kJ/kgK]</t>
  </si>
  <si>
    <t>JT coeff[K/bar]</t>
  </si>
  <si>
    <t>speedof sound [m/s]</t>
  </si>
  <si>
    <t>Z compressbility [-]</t>
  </si>
  <si>
    <t>density [kg/m^3]</t>
  </si>
  <si>
    <t>molFraction [-]</t>
  </si>
  <si>
    <t>Temperature [C]</t>
  </si>
  <si>
    <t>Pressure [bara]</t>
  </si>
  <si>
    <t>mole fraction</t>
  </si>
  <si>
    <t>Package ID</t>
  </si>
  <si>
    <t>ethane</t>
  </si>
  <si>
    <t>propane</t>
  </si>
  <si>
    <t>To recalculate:</t>
  </si>
  <si>
    <t>Ctrl+Alt+F9</t>
  </si>
  <si>
    <t>Phase (-1 total, 0 gas, 1 liquid)</t>
  </si>
  <si>
    <t>Component number (0 to numerOfComp-1)</t>
  </si>
  <si>
    <t>Flash (-2 multiphase Tpflash, -1 two-phase TPflash, 0 gas, 1 liquid)</t>
  </si>
  <si>
    <t>nitrogen</t>
  </si>
  <si>
    <t>CO2</t>
  </si>
  <si>
    <t>i-butane</t>
  </si>
  <si>
    <t>n-butane</t>
  </si>
  <si>
    <t>n-pentane</t>
  </si>
  <si>
    <t>n-hexane</t>
  </si>
  <si>
    <t>water</t>
  </si>
  <si>
    <t>gibbs energy[kJ/kg]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</si>
</sst>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0</xdr:row>
          <xdr:rowOff>30480</xdr:rowOff>
        </xdr:from>
        <xdr:to>
          <xdr:col>3</xdr:col>
          <xdr:colOff>365760</xdr:colOff>
          <xdr:row>1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Read Fluid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62C6B-ED25-4AA9-B0D3-60C6A43822E0}">
  <sheetPr codeName="Sheet1"/>
  <dimension ref="A1:T42"/>
  <sheetViews>
    <sheetView tabSelected="1" workbookViewId="0">
      <selection activeCell="D15" sqref="D15"/>
    </sheetView>
  </sheetViews>
  <sheetFormatPr defaultRowHeight="14.4" x14ac:dyDescent="0.3"/>
  <cols>
    <col min="1" max="1" width="17.33203125" customWidth="1"/>
    <col min="2" max="3" width="16.6640625" customWidth="1"/>
    <col min="4" max="4" width="58.109375" customWidth="1"/>
    <col min="5" max="5" width="16.44140625" customWidth="1"/>
    <col min="6" max="6" width="20.88671875" customWidth="1"/>
    <col min="7" max="7" width="20.44140625" customWidth="1"/>
    <col min="8" max="8" width="16.33203125" bestFit="1" customWidth="1"/>
    <col min="9" max="9" width="19.88671875" customWidth="1"/>
    <col min="10" max="10" width="12" bestFit="1" customWidth="1"/>
    <col min="11" max="11" width="10.6640625" bestFit="1" customWidth="1"/>
    <col min="12" max="12" width="20.109375" bestFit="1" customWidth="1"/>
    <col min="13" max="13" width="17.44140625" customWidth="1"/>
    <col min="14" max="14" width="20.6640625" customWidth="1"/>
    <col min="15" max="15" width="14.109375" bestFit="1" customWidth="1"/>
    <col min="16" max="16" width="19.6640625" bestFit="1" customWidth="1"/>
    <col min="19" max="19" width="19.6640625" bestFit="1" customWidth="1"/>
  </cols>
  <sheetData>
    <row r="1" spans="1:20" x14ac:dyDescent="0.3">
      <c r="A1" t="s">
        <v>19</v>
      </c>
      <c r="B1">
        <v>3156</v>
      </c>
    </row>
    <row r="3" spans="1:20" x14ac:dyDescent="0.3">
      <c r="A3" s="1" t="s">
        <v>0</v>
      </c>
      <c r="B3" s="1" t="s">
        <v>18</v>
      </c>
      <c r="C3" s="1"/>
      <c r="D3" t="s">
        <v>22</v>
      </c>
    </row>
    <row r="4" spans="1:20" x14ac:dyDescent="0.3">
      <c r="A4" t="s">
        <v>27</v>
      </c>
      <c r="B4">
        <v>9.5238095238095264E-3</v>
      </c>
      <c r="D4" t="s">
        <v>23</v>
      </c>
    </row>
    <row r="5" spans="1:20" x14ac:dyDescent="0.3">
      <c r="A5" t="s">
        <v>28</v>
      </c>
      <c r="B5">
        <v>9.5238095238095264E-3</v>
      </c>
    </row>
    <row r="6" spans="1:20" x14ac:dyDescent="0.3">
      <c r="A6" t="s">
        <v>1</v>
      </c>
      <c r="B6">
        <v>0.85714285714285732</v>
      </c>
      <c r="D6" t="s">
        <v>26</v>
      </c>
      <c r="E6">
        <v>-2</v>
      </c>
    </row>
    <row r="7" spans="1:20" x14ac:dyDescent="0.3">
      <c r="A7" t="s">
        <v>20</v>
      </c>
      <c r="B7">
        <v>3.8095238095238106E-2</v>
      </c>
      <c r="D7" t="s">
        <v>24</v>
      </c>
      <c r="E7">
        <v>0</v>
      </c>
    </row>
    <row r="8" spans="1:20" x14ac:dyDescent="0.3">
      <c r="A8" t="s">
        <v>21</v>
      </c>
      <c r="B8">
        <v>2.8571428571428581E-2</v>
      </c>
      <c r="D8" t="s">
        <v>25</v>
      </c>
      <c r="E8">
        <v>2</v>
      </c>
    </row>
    <row r="9" spans="1:20" x14ac:dyDescent="0.3">
      <c r="A9" t="s">
        <v>29</v>
      </c>
      <c r="B9">
        <v>1.9047619047619053E-2</v>
      </c>
    </row>
    <row r="10" spans="1:20" x14ac:dyDescent="0.3">
      <c r="A10" t="s">
        <v>30</v>
      </c>
      <c r="B10">
        <v>9.5238095238095264E-3</v>
      </c>
    </row>
    <row r="11" spans="1:20" x14ac:dyDescent="0.3">
      <c r="A11" t="s">
        <v>31</v>
      </c>
      <c r="B11">
        <v>9.5238095238095264E-3</v>
      </c>
    </row>
    <row r="12" spans="1:20" x14ac:dyDescent="0.3">
      <c r="A12" t="s">
        <v>32</v>
      </c>
      <c r="B12">
        <v>9.5238095238095264E-3</v>
      </c>
    </row>
    <row r="13" spans="1:20" x14ac:dyDescent="0.3">
      <c r="A13" t="s">
        <v>33</v>
      </c>
      <c r="B13">
        <v>9.5238095238095264E-3</v>
      </c>
      <c r="D13" t="s">
        <v>16</v>
      </c>
      <c r="E13" t="s">
        <v>17</v>
      </c>
      <c r="F13" t="s">
        <v>2</v>
      </c>
      <c r="G13" t="s">
        <v>3</v>
      </c>
      <c r="H13" t="s">
        <v>4</v>
      </c>
      <c r="I13" t="s">
        <v>15</v>
      </c>
      <c r="J13" t="s">
        <v>7</v>
      </c>
      <c r="K13" t="s">
        <v>9</v>
      </c>
      <c r="L13" t="s">
        <v>10</v>
      </c>
      <c r="M13" t="s">
        <v>5</v>
      </c>
      <c r="N13" t="s">
        <v>6</v>
      </c>
      <c r="O13" t="s">
        <v>8</v>
      </c>
      <c r="P13" t="s">
        <v>14</v>
      </c>
      <c r="Q13" t="s">
        <v>13</v>
      </c>
      <c r="R13" t="s">
        <v>11</v>
      </c>
      <c r="S13" t="s">
        <v>12</v>
      </c>
      <c r="T13" t="s">
        <v>34</v>
      </c>
    </row>
    <row r="14" spans="1:20" x14ac:dyDescent="0.3">
      <c r="D14">
        <v>10</v>
      </c>
      <c r="E14">
        <v>35</v>
      </c>
      <c r="F14">
        <f>enthalpy(D14,E14,compositionRange2(),$E$6,$E$7)</f>
        <v>-29.044823298957585</v>
      </c>
      <c r="G14">
        <f>entropy(D14, E14,compositionRange2(),$E$6,$E$7)</f>
        <v>-1.3317031684070013</v>
      </c>
      <c r="H14">
        <f>molecularWeight(D14, E14,compositionRange2(),$E$6,$E$7)</f>
        <v>19.222756138918211</v>
      </c>
      <c r="I14">
        <f>molFraction(D14, E14,compositionRange2(),$E$6,E$7,E$8)</f>
        <v>0.88273884268562464</v>
      </c>
      <c r="J14">
        <f>viscosity(D14, E14,compositionRange2(),$E$6,$E$7)</f>
        <v>1.0793228734961437E-5</v>
      </c>
      <c r="K14">
        <f>phaseFraction(D14, E14,compositionRange2(),$E$6,E$7)</f>
        <v>0.96570318976280478</v>
      </c>
      <c r="L14">
        <f>internalEnergy(D14, E14,compositionRange2(),$E$6,$E$7)</f>
        <v>-136.55715444902586</v>
      </c>
      <c r="M14">
        <f>Cp(D14, E14,compositionRange2(),$E$6,$E$7)</f>
        <v>2.3501027597086233</v>
      </c>
      <c r="N14">
        <f>Cv(D14, E14,compositionRange2(),$E$6,$E$7)</f>
        <v>1.6183622360685017</v>
      </c>
      <c r="O14">
        <f>conductivity(D14, E14,compositionRange2(),$E$6,$E$7)</f>
        <v>3.1152591824371748E-2</v>
      </c>
      <c r="P14">
        <f>density(D14, E14,compositionRange2(),$E$6,$E$7)</f>
        <v>8.4071578582752409</v>
      </c>
      <c r="Q14">
        <f>compressibilityFactor(D14, E14,compositionRange2(),$E$6,$E$7)</f>
        <v>0.87785585714382786</v>
      </c>
      <c r="R14">
        <f>JouleThomsonCoefficient(D14, E14,compositionRange2(),$E$6,0)</f>
        <v>0.62560587649409105</v>
      </c>
      <c r="S14">
        <f>speedOfSound(D14, E14,compositionRange2(),$E$6,0)</f>
        <v>370.96563820732274</v>
      </c>
      <c r="T14">
        <f>gibbsEnergy(D14, E14,compositionRange2(),$E$6,$E$7)</f>
        <v>348.0269288354848</v>
      </c>
    </row>
    <row r="15" spans="1:20" x14ac:dyDescent="0.3">
      <c r="D15">
        <f>D14+5</f>
        <v>15</v>
      </c>
      <c r="E15">
        <f>E14</f>
        <v>35</v>
      </c>
      <c r="F15">
        <f>enthalpy(D15,E15,compositionRange2(),$E$6,$E$7)</f>
        <v>-17.82433047253938</v>
      </c>
      <c r="G15">
        <f>entropy(D15, E15,compositionRange2(),$E$6,$E$7)</f>
        <v>-1.2714193696549969</v>
      </c>
      <c r="H15">
        <f>molecularWeight(D15, E15,compositionRange2(),$E$6,$E$7)</f>
        <v>19.41280086720171</v>
      </c>
      <c r="I15">
        <f>molFraction(D15, E15,compositionRange2(),$E$6,E$7,E$8)</f>
        <v>0.87885319794409489</v>
      </c>
      <c r="J15">
        <f>viscosity(D15, E15,compositionRange2(),$E$6,$E$7)</f>
        <v>1.0793228734961437E-5</v>
      </c>
      <c r="K15">
        <f>phaseFraction(D15, E15,compositionRange2(),$E$6,E$7)</f>
        <v>0.97128594888573216</v>
      </c>
      <c r="L15">
        <f>internalEnergy(D15, E15,compositionRange2(),$E$6,$E$7)</f>
        <v>-126.74613179358875</v>
      </c>
      <c r="M15">
        <f>Cp(D15, E15,compositionRange2(),$E$6,$E$7)</f>
        <v>2.3427346238834277</v>
      </c>
      <c r="N15">
        <f>Cv(D15, E15,compositionRange2(),$E$6,$E$7)</f>
        <v>1.6294845921168037</v>
      </c>
      <c r="O15">
        <f>conductivity(D15, E15,compositionRange2(),$E$6,$E$7)</f>
        <v>3.1152591824371748E-2</v>
      </c>
      <c r="P15">
        <f>density(D15, E15,compositionRange2(),$E$6,$E$7)</f>
        <v>8.4071578582752409</v>
      </c>
      <c r="Q15">
        <f>compressibilityFactor(D15, E15,compositionRange2(),$E$6,$E$7)</f>
        <v>0.88257217797874388</v>
      </c>
      <c r="R15">
        <f>JouleThomsonCoefficient(D15, E15,compositionRange2(),$E$6,0)</f>
        <v>0.60957847178086089</v>
      </c>
      <c r="S15">
        <f>speedOfSound(D15, E15,compositionRange2(),$E$6,0)</f>
        <v>372.60177208799399</v>
      </c>
      <c r="T15">
        <f>gibbsEnergy(D15, E15,compositionRange2(),$E$6,$E$7)</f>
        <v>348.53516089354798</v>
      </c>
    </row>
    <row r="16" spans="1:20" x14ac:dyDescent="0.3">
      <c r="D16">
        <f t="shared" ref="D16:D42" si="0">D15+5</f>
        <v>20</v>
      </c>
      <c r="E16">
        <f t="shared" ref="E16:E27" si="1">E15</f>
        <v>35</v>
      </c>
      <c r="F16">
        <f>enthalpy(D16,E16,compositionRange2(),$E$6,$E$7)</f>
        <v>-6.6643524979172097</v>
      </c>
      <c r="G16">
        <f>entropy(D16, E16,compositionRange2(),$E$6,$E$7)</f>
        <v>-1.2120446546895967</v>
      </c>
      <c r="H16">
        <f>molecularWeight(D16, E16,compositionRange2(),$E$6,$E$7)</f>
        <v>19.609734821866031</v>
      </c>
      <c r="I16">
        <f>molFraction(D16, E16,compositionRange2(),$E$6,E$7,E$8)</f>
        <v>0.8750021565588374</v>
      </c>
      <c r="J16">
        <f>viscosity(D16, E16,compositionRange2(),$E$6,$E$7)</f>
        <v>1.0793228734961437E-5</v>
      </c>
      <c r="K16">
        <f>phaseFraction(D16, E16,compositionRange2(),$E$6,E$7)</f>
        <v>0.97675137931203848</v>
      </c>
      <c r="L16">
        <f>internalEnergy(D16, E16,compositionRange2(),$E$6,$E$7)</f>
        <v>-116.90664738616006</v>
      </c>
      <c r="M16">
        <f>Cp(D16, E16,compositionRange2(),$E$6,$E$7)</f>
        <v>2.3371062138794292</v>
      </c>
      <c r="N16">
        <f>Cv(D16, E16,compositionRange2(),$E$6,$E$7)</f>
        <v>1.6411741127469652</v>
      </c>
      <c r="O16">
        <f>conductivity(D16, E16,compositionRange2(),$E$6,$E$7)</f>
        <v>3.1152591824371748E-2</v>
      </c>
      <c r="P16">
        <f>density(D16, E16,compositionRange2(),$E$6,$E$7)</f>
        <v>8.4071578582752409</v>
      </c>
      <c r="Q16">
        <f>compressibilityFactor(D16, E16,compositionRange2(),$E$6,$E$7)</f>
        <v>0.88694340659118465</v>
      </c>
      <c r="R16">
        <f>JouleThomsonCoefficient(D16, E16,compositionRange2(),$E$6,0)</f>
        <v>0.59431730724320042</v>
      </c>
      <c r="S16">
        <f>speedOfSound(D16, E16,compositionRange2(),$E$6,0)</f>
        <v>374.0528952192239</v>
      </c>
      <c r="T16">
        <f>gibbsEnergy(D16, E16,compositionRange2(),$E$6,$E$7)</f>
        <v>348.64653802433799</v>
      </c>
    </row>
    <row r="17" spans="4:20" x14ac:dyDescent="0.3">
      <c r="D17">
        <f t="shared" si="0"/>
        <v>25</v>
      </c>
      <c r="E17">
        <f t="shared" si="1"/>
        <v>35</v>
      </c>
      <c r="F17">
        <f>enthalpy(D17,E17,compositionRange2(),$E$6,$E$7)</f>
        <v>4.4357766449638367</v>
      </c>
      <c r="G17">
        <f>entropy(D17, E17,compositionRange2(),$E$6,$E$7)</f>
        <v>-1.1533049834311806</v>
      </c>
      <c r="H17">
        <f>molecularWeight(D17, E17,compositionRange2(),$E$6,$E$7)</f>
        <v>19.816330079808306</v>
      </c>
      <c r="I17">
        <f>molFraction(D17, E17,compositionRange2(),$E$6,E$7,E$8)</f>
        <v>0.87111934918944522</v>
      </c>
      <c r="J17">
        <f>viscosity(D17, E17,compositionRange2(),$E$6,$E$7)</f>
        <v>1.0793228734961437E-5</v>
      </c>
      <c r="K17">
        <f>phaseFraction(D17, E17,compositionRange2(),$E$6,E$7)</f>
        <v>0.98220669215988254</v>
      </c>
      <c r="L17">
        <f>internalEnergy(D17, E17,compositionRange2(),$E$6,$E$7)</f>
        <v>-107.02145575159572</v>
      </c>
      <c r="M17">
        <f>Cp(D17, E17,compositionRange2(),$E$6,$E$7)</f>
        <v>2.3330217110713174</v>
      </c>
      <c r="N17">
        <f>Cv(D17, E17,compositionRange2(),$E$6,$E$7)</f>
        <v>1.6533883968531451</v>
      </c>
      <c r="O17">
        <f>conductivity(D17, E17,compositionRange2(),$E$6,$E$7)</f>
        <v>3.1152591824371748E-2</v>
      </c>
      <c r="P17">
        <f>density(D17, E17,compositionRange2(),$E$6,$E$7)</f>
        <v>8.4071578582752409</v>
      </c>
      <c r="Q17">
        <f>compressibilityFactor(D17, E17,compositionRange2(),$E$6,$E$7)</f>
        <v>0.89096883012523853</v>
      </c>
      <c r="R17">
        <f>JouleThomsonCoefficient(D17, E17,compositionRange2(),$E$6,0)</f>
        <v>0.57986544931209771</v>
      </c>
      <c r="S17">
        <f>speedOfSound(D17, E17,compositionRange2(),$E$6,0)</f>
        <v>375.28951262613828</v>
      </c>
      <c r="T17">
        <f>gibbsEnergy(D17, E17,compositionRange2(),$E$6,$E$7)</f>
        <v>348.29365745497034</v>
      </c>
    </row>
    <row r="18" spans="4:20" x14ac:dyDescent="0.3">
      <c r="D18">
        <f t="shared" si="0"/>
        <v>30</v>
      </c>
      <c r="E18">
        <f t="shared" si="1"/>
        <v>35</v>
      </c>
      <c r="F18">
        <f>enthalpy(D18,E18,compositionRange2(),$E$6,$E$7)</f>
        <v>15.001530988801484</v>
      </c>
      <c r="G18">
        <f>entropy(D18, E18,compositionRange2(),$E$6,$E$7)</f>
        <v>-1.0813536201103982</v>
      </c>
      <c r="H18">
        <f>molecularWeight(D18, E18,compositionRange2(),$E$6,$E$7)</f>
        <v>20.201038129445113</v>
      </c>
      <c r="I18">
        <f>molFraction(D18, E18,compositionRange2(),$E$6,E$7,E$8)</f>
        <v>0.86442455834026022</v>
      </c>
      <c r="J18">
        <f>viscosity(D18, E18,compositionRange2(),$E$6,$E$7)</f>
        <v>1.0793228734961437E-5</v>
      </c>
      <c r="K18">
        <f>phaseFraction(D18, E18,compositionRange2(),$E$6,E$7)</f>
        <v>0.9915762441261442</v>
      </c>
      <c r="L18">
        <f>internalEnergy(D18, E18,compositionRange2(),$E$6,$E$7)</f>
        <v>-96.390561314038194</v>
      </c>
      <c r="M18">
        <f>Cp(D18, E18,compositionRange2(),$E$6,$E$7)</f>
        <v>2.3290969549721785</v>
      </c>
      <c r="N18">
        <f>Cv(D18, E18,compositionRange2(),$E$6,$E$7)</f>
        <v>1.6655448955421726</v>
      </c>
      <c r="O18">
        <f>conductivity(D18, E18,compositionRange2(),$E$6,$E$7)</f>
        <v>3.1152591824371748E-2</v>
      </c>
      <c r="P18">
        <f>density(D18, E18,compositionRange2(),$E$6,$E$7)</f>
        <v>8.4071578582752409</v>
      </c>
      <c r="Q18">
        <f>compressibilityFactor(D18, E18,compositionRange2(),$E$6,$E$7)</f>
        <v>0.89276328033443686</v>
      </c>
      <c r="R18">
        <f>JouleThomsonCoefficient(D18, E18,compositionRange2(),$E$6,0)</f>
        <v>0.57185341597083272</v>
      </c>
      <c r="S18">
        <f>speedOfSound(D18, E18,compositionRange2(),$E$6,0)</f>
        <v>373.89990878210693</v>
      </c>
      <c r="T18">
        <f>gibbsEnergy(D18, E18,compositionRange2(),$E$6,$E$7)</f>
        <v>342.81388092526862</v>
      </c>
    </row>
    <row r="19" spans="4:20" x14ac:dyDescent="0.3">
      <c r="D19">
        <f t="shared" si="0"/>
        <v>35</v>
      </c>
      <c r="E19">
        <f t="shared" si="1"/>
        <v>35</v>
      </c>
      <c r="F19">
        <f>enthalpy(D19,E19,compositionRange2(),$E$6,$E$7)</f>
        <v>26.6543598574988</v>
      </c>
      <c r="G19">
        <f>entropy(D19, E19,compositionRange2(),$E$6,$E$7)</f>
        <v>-1.0423633789360729</v>
      </c>
      <c r="H19">
        <f>molecularWeight(D19, E19,compositionRange2(),$E$6,$E$7)</f>
        <v>20.200221261264179</v>
      </c>
      <c r="I19">
        <f>molFraction(D19, E19,compositionRange2(),$E$6,E$7,E$8)</f>
        <v>0.86410155308116199</v>
      </c>
      <c r="J19">
        <f>viscosity(D19, E19,compositionRange2(),$E$6,$E$7)</f>
        <v>1.0793228734961437E-5</v>
      </c>
      <c r="K19">
        <f>phaseFraction(D19, E19,compositionRange2(),$E$6,E$7)</f>
        <v>0.99194689992429996</v>
      </c>
      <c r="L19">
        <f>internalEnergy(D19, E19,compositionRange2(),$E$6,$E$7)</f>
        <v>-87.337761123098502</v>
      </c>
      <c r="M19">
        <f>Cp(D19, E19,compositionRange2(),$E$6,$E$7)</f>
        <v>2.3293440370366301</v>
      </c>
      <c r="N19">
        <f>Cv(D19, E19,compositionRange2(),$E$6,$E$7)</f>
        <v>1.6794472227971935</v>
      </c>
      <c r="O19">
        <f>conductivity(D19, E19,compositionRange2(),$E$6,$E$7)</f>
        <v>3.1152591824371748E-2</v>
      </c>
      <c r="P19">
        <f>density(D19, E19,compositionRange2(),$E$6,$E$7)</f>
        <v>8.4071578582752409</v>
      </c>
      <c r="Q19">
        <f>compressibilityFactor(D19, E19,compositionRange2(),$E$6,$E$7)</f>
        <v>0.89874115812370037</v>
      </c>
      <c r="R19">
        <f>JouleThomsonCoefficient(D19, E19,compositionRange2(),$E$6,0)</f>
        <v>0.55126832914202284</v>
      </c>
      <c r="S19">
        <f>speedOfSound(D19, E19,compositionRange2(),$E$6,0)</f>
        <v>377.99941894713095</v>
      </c>
      <c r="T19">
        <f>gibbsEnergy(D19, E19,compositionRange2(),$E$6,$E$7)</f>
        <v>347.85863507664959</v>
      </c>
    </row>
    <row r="20" spans="4:20" x14ac:dyDescent="0.3">
      <c r="D20">
        <f t="shared" si="0"/>
        <v>40</v>
      </c>
      <c r="E20">
        <f t="shared" si="1"/>
        <v>35</v>
      </c>
      <c r="F20">
        <f>enthalpy(D20,E20,compositionRange2(),$E$6,$E$7)</f>
        <v>38.313143069424697</v>
      </c>
      <c r="G20">
        <f>entropy(D20, E20,compositionRange2(),$E$6,$E$7)</f>
        <v>-1.0037806166464778</v>
      </c>
      <c r="H20">
        <f>molecularWeight(D20, E20,compositionRange2(),$E$6,$E$7)</f>
        <v>20.199175415280248</v>
      </c>
      <c r="I20">
        <f>molFraction(D20, E20,compositionRange2(),$E$6,E$7,E$8)</f>
        <v>0.86368800090156328</v>
      </c>
      <c r="J20">
        <f>viscosity(D20, E20,compositionRange2(),$E$6,$E$7)</f>
        <v>1.0793228734961437E-5</v>
      </c>
      <c r="K20">
        <f>phaseFraction(D20, E20,compositionRange2(),$E$6,E$7)</f>
        <v>0.99242186506390828</v>
      </c>
      <c r="L20">
        <f>internalEnergy(D20, E20,compositionRange2(),$E$6,$E$7)</f>
        <v>-78.254980432496893</v>
      </c>
      <c r="M20">
        <f>Cp(D20, E20,compositionRange2(),$E$6,$E$7)</f>
        <v>2.3309935559669324</v>
      </c>
      <c r="N20">
        <f>Cv(D20, E20,compositionRange2(),$E$6,$E$7)</f>
        <v>1.6935750944261903</v>
      </c>
      <c r="O20">
        <f>conductivity(D20, E20,compositionRange2(),$E$6,$E$7)</f>
        <v>3.1152591824371748E-2</v>
      </c>
      <c r="P20">
        <f>density(D20, E20,compositionRange2(),$E$6,$E$7)</f>
        <v>8.4071578582752409</v>
      </c>
      <c r="Q20">
        <f>compressibilityFactor(D20, E20,compositionRange2(),$E$6,$E$7)</f>
        <v>0.90432986208303989</v>
      </c>
      <c r="R20">
        <f>JouleThomsonCoefficient(D20, E20,compositionRange2(),$E$6,0)</f>
        <v>0.53168299717048206</v>
      </c>
      <c r="S20">
        <f>speedOfSound(D20, E20,compositionRange2(),$E$6,0)</f>
        <v>382.00143228642884</v>
      </c>
      <c r="T20">
        <f>gibbsEnergy(D20, E20,compositionRange2(),$E$6,$E$7)</f>
        <v>352.64704317226915</v>
      </c>
    </row>
    <row r="21" spans="4:20" x14ac:dyDescent="0.3">
      <c r="D21">
        <f t="shared" si="0"/>
        <v>45</v>
      </c>
      <c r="E21">
        <f t="shared" si="1"/>
        <v>35</v>
      </c>
      <c r="F21">
        <f>enthalpy(D21,E21,compositionRange2(),$E$6,$E$7)</f>
        <v>49.984419309633275</v>
      </c>
      <c r="G21">
        <f>entropy(D21, E21,compositionRange2(),$E$6,$E$7)</f>
        <v>-0.96553876202245803</v>
      </c>
      <c r="H21">
        <f>molecularWeight(D21, E21,compositionRange2(),$E$6,$E$7)</f>
        <v>20.197849440129943</v>
      </c>
      <c r="I21">
        <f>molFraction(D21, E21,compositionRange2(),$E$6,E$7,E$8)</f>
        <v>0.86316367374277847</v>
      </c>
      <c r="J21">
        <f>viscosity(D21, E21,compositionRange2(),$E$6,$E$7)</f>
        <v>1.0793228734961437E-5</v>
      </c>
      <c r="K21">
        <f>phaseFraction(D21, E21,compositionRange2(),$E$6,E$7)</f>
        <v>0.9930247097227104</v>
      </c>
      <c r="L21">
        <f>internalEnergy(D21, E21,compositionRange2(),$E$6,$E$7)</f>
        <v>-69.138204961596145</v>
      </c>
      <c r="M21">
        <f>Cp(D21, E21,compositionRange2(),$E$6,$E$7)</f>
        <v>2.3338799163937378</v>
      </c>
      <c r="N21">
        <f>Cv(D21, E21,compositionRange2(),$E$6,$E$7)</f>
        <v>1.7079073148043169</v>
      </c>
      <c r="O21">
        <f>conductivity(D21, E21,compositionRange2(),$E$6,$E$7)</f>
        <v>3.1152591824371748E-2</v>
      </c>
      <c r="P21">
        <f>density(D21, E21,compositionRange2(),$E$6,$E$7)</f>
        <v>8.4071578582752409</v>
      </c>
      <c r="Q21">
        <f>compressibilityFactor(D21, E21,compositionRange2(),$E$6,$E$7)</f>
        <v>0.9095640720824697</v>
      </c>
      <c r="R21">
        <f>JouleThomsonCoefficient(D21, E21,compositionRange2(),$E$6,0)</f>
        <v>0.51302128787034607</v>
      </c>
      <c r="S21">
        <f>speedOfSound(D21, E21,compositionRange2(),$E$6,0)</f>
        <v>385.913889062343</v>
      </c>
      <c r="T21">
        <f>gibbsEnergy(D21, E21,compositionRange2(),$E$6,$E$7)</f>
        <v>357.1705764470783</v>
      </c>
    </row>
    <row r="22" spans="4:20" x14ac:dyDescent="0.3">
      <c r="D22">
        <f t="shared" si="0"/>
        <v>50</v>
      </c>
      <c r="E22">
        <f t="shared" si="1"/>
        <v>35</v>
      </c>
      <c r="F22">
        <f>enthalpy(D22,E22,compositionRange2(),$E$6,$E$7)</f>
        <v>61.673850815183172</v>
      </c>
      <c r="G22">
        <f>entropy(D22, E22,compositionRange2(),$E$6,$E$7)</f>
        <v>-0.92757464982748949</v>
      </c>
      <c r="H22">
        <f>molecularWeight(D22, E22,compositionRange2(),$E$6,$E$7)</f>
        <v>20.196183820248439</v>
      </c>
      <c r="I22">
        <f>molFraction(D22, E22,compositionRange2(),$E$6,E$7,E$8)</f>
        <v>0.86250503568504833</v>
      </c>
      <c r="J22">
        <f>viscosity(D22, E22,compositionRange2(),$E$6,$E$7)</f>
        <v>1.0793228734961437E-5</v>
      </c>
      <c r="K22">
        <f>phaseFraction(D22, E22,compositionRange2(),$E$6,E$7)</f>
        <v>0.99378301687305837</v>
      </c>
      <c r="L22">
        <f>internalEnergy(D22, E22,compositionRange2(),$E$6,$E$7)</f>
        <v>-59.984135598487242</v>
      </c>
      <c r="M22">
        <f>Cp(D22, E22,compositionRange2(),$E$6,$E$7)</f>
        <v>2.3378588672437108</v>
      </c>
      <c r="N22">
        <f>Cv(D22, E22,compositionRange2(),$E$6,$E$7)</f>
        <v>1.7224210559752533</v>
      </c>
      <c r="O22">
        <f>conductivity(D22, E22,compositionRange2(),$E$6,$E$7)</f>
        <v>3.1152591824371748E-2</v>
      </c>
      <c r="P22">
        <f>density(D22, E22,compositionRange2(),$E$6,$E$7)</f>
        <v>8.4071578582752409</v>
      </c>
      <c r="Q22">
        <f>compressibilityFactor(D22, E22,compositionRange2(),$E$6,$E$7)</f>
        <v>0.91447454415175977</v>
      </c>
      <c r="R22">
        <f>JouleThomsonCoefficient(D22, E22,compositionRange2(),$E$6,0)</f>
        <v>0.49521533430100201</v>
      </c>
      <c r="S22">
        <f>speedOfSound(D22, E22,compositionRange2(),$E$6,0)</f>
        <v>389.74416858752693</v>
      </c>
      <c r="T22">
        <f>gibbsEnergy(D22, E22,compositionRange2(),$E$6,$E$7)</f>
        <v>361.41959890693636</v>
      </c>
    </row>
    <row r="23" spans="4:20" x14ac:dyDescent="0.3">
      <c r="D23">
        <f t="shared" si="0"/>
        <v>55</v>
      </c>
      <c r="E23">
        <f t="shared" si="1"/>
        <v>35</v>
      </c>
      <c r="F23">
        <f>enthalpy(D23,E23,compositionRange2(),$E$6,$E$7)</f>
        <v>73.386278691687039</v>
      </c>
      <c r="G23">
        <f>entropy(D23, E23,compositionRange2(),$E$6,$E$7)</f>
        <v>-0.88982852592097228</v>
      </c>
      <c r="H23">
        <f>molecularWeight(D23, E23,compositionRange2(),$E$6,$E$7)</f>
        <v>20.194109875659663</v>
      </c>
      <c r="I23">
        <f>molFraction(D23, E23,compositionRange2(),$E$6,E$7,E$8)</f>
        <v>0.86168492642714134</v>
      </c>
      <c r="J23">
        <f>viscosity(D23, E23,compositionRange2(),$E$6,$E$7)</f>
        <v>1.0793228734961437E-5</v>
      </c>
      <c r="K23">
        <f>phaseFraction(D23, E23,compositionRange2(),$E$6,E$7)</f>
        <v>0.9947288504589219</v>
      </c>
      <c r="L23">
        <f>internalEnergy(D23, E23,compositionRange2(),$E$6,$E$7)</f>
        <v>-50.790173171779749</v>
      </c>
      <c r="M23">
        <f>Cp(D23, E23,compositionRange2(),$E$6,$E$7)</f>
        <v>2.342802788997246</v>
      </c>
      <c r="N23">
        <f>Cv(D23, E23,compositionRange2(),$E$6,$E$7)</f>
        <v>1.7370914279389846</v>
      </c>
      <c r="O23">
        <f>conductivity(D23, E23,compositionRange2(),$E$6,$E$7)</f>
        <v>3.1152591824371748E-2</v>
      </c>
      <c r="P23">
        <f>density(D23, E23,compositionRange2(),$E$6,$E$7)</f>
        <v>8.4071578582752409</v>
      </c>
      <c r="Q23">
        <f>compressibilityFactor(D23, E23,compositionRange2(),$E$6,$E$7)</f>
        <v>0.91908863267615892</v>
      </c>
      <c r="R23">
        <f>JouleThomsonCoefficient(D23, E23,compositionRange2(),$E$6,0)</f>
        <v>0.47820452515915379</v>
      </c>
      <c r="S23">
        <f>speedOfSound(D23, E23,compositionRange2(),$E$6,0)</f>
        <v>393.49919564303934</v>
      </c>
      <c r="T23">
        <f>gibbsEnergy(D23, E23,compositionRange2(),$E$6,$E$7)</f>
        <v>365.38350947265405</v>
      </c>
    </row>
    <row r="24" spans="4:20" x14ac:dyDescent="0.3">
      <c r="D24">
        <f t="shared" si="0"/>
        <v>60</v>
      </c>
      <c r="E24">
        <f t="shared" si="1"/>
        <v>35</v>
      </c>
      <c r="F24">
        <f>enthalpy(D24,E24,compositionRange2(),$E$6,$E$7)</f>
        <v>85.125748094724671</v>
      </c>
      <c r="G24">
        <f>entropy(D24, E24,compositionRange2(),$E$6,$E$7)</f>
        <v>-0.85224426470386849</v>
      </c>
      <c r="H24">
        <f>molecularWeight(D24, E24,compositionRange2(),$E$6,$E$7)</f>
        <v>20.191548961965388</v>
      </c>
      <c r="I24">
        <f>molFraction(D24, E24,compositionRange2(),$E$6,E$7,E$8)</f>
        <v>0.8606722448319124</v>
      </c>
      <c r="J24">
        <f>viscosity(D24, E24,compositionRange2(),$E$6,$E$7)</f>
        <v>1.0793228734961437E-5</v>
      </c>
      <c r="K24">
        <f>phaseFraction(D24, E24,compositionRange2(),$E$6,E$7)</f>
        <v>0.99589926529027961</v>
      </c>
      <c r="L24">
        <f>internalEnergy(D24, E24,compositionRange2(),$E$6,$E$7)</f>
        <v>-41.554426054818521</v>
      </c>
      <c r="M24">
        <f>Cp(D24, E24,compositionRange2(),$E$6,$E$7)</f>
        <v>2.3485969415190588</v>
      </c>
      <c r="N24">
        <f>Cv(D24, E24,compositionRange2(),$E$6,$E$7)</f>
        <v>1.7518910314440179</v>
      </c>
      <c r="O24">
        <f>conductivity(D24, E24,compositionRange2(),$E$6,$E$7)</f>
        <v>3.1152591824371748E-2</v>
      </c>
      <c r="P24">
        <f>density(D24, E24,compositionRange2(),$E$6,$E$7)</f>
        <v>8.4071578582752409</v>
      </c>
      <c r="Q24">
        <f>compressibilityFactor(D24, E24,compositionRange2(),$E$6,$E$7)</f>
        <v>0.92343070790411985</v>
      </c>
      <c r="R24">
        <f>JouleThomsonCoefficient(D24, E24,compositionRange2(),$E$6,0)</f>
        <v>0.46193474342162721</v>
      </c>
      <c r="S24">
        <f>speedOfSound(D24, E24,compositionRange2(),$E$6,0)</f>
        <v>397.18552822901302</v>
      </c>
      <c r="T24">
        <f>gibbsEnergy(D24, E24,compositionRange2(),$E$6,$E$7)</f>
        <v>369.05092488081846</v>
      </c>
    </row>
    <row r="25" spans="4:20" x14ac:dyDescent="0.3">
      <c r="D25">
        <f t="shared" si="0"/>
        <v>65</v>
      </c>
      <c r="E25">
        <f t="shared" si="1"/>
        <v>35</v>
      </c>
      <c r="F25">
        <f>enthalpy(D25,E25,compositionRange2(),$E$6,$E$7)</f>
        <v>96.895505988050175</v>
      </c>
      <c r="G25">
        <f>entropy(D25, E25,compositionRange2(),$E$6,$E$7)</f>
        <v>-0.81476977790996052</v>
      </c>
      <c r="H25">
        <f>molecularWeight(D25, E25,compositionRange2(),$E$6,$E$7)</f>
        <v>20.188411677699612</v>
      </c>
      <c r="I25">
        <f>molFraction(D25, E25,compositionRange2(),$E$6,E$7,E$8)</f>
        <v>0.85943163537245137</v>
      </c>
      <c r="J25">
        <f>viscosity(D25, E25,compositionRange2(),$E$6,$E$7)</f>
        <v>1.0793228734961437E-5</v>
      </c>
      <c r="K25">
        <f>phaseFraction(D25, E25,compositionRange2(),$E$6,E$7)</f>
        <v>0.99733686906628138</v>
      </c>
      <c r="L25">
        <f>internalEnergy(D25, E25,compositionRange2(),$E$6,$E$7)</f>
        <v>-32.275738871864569</v>
      </c>
      <c r="M25">
        <f>Cp(D25, E25,compositionRange2(),$E$6,$E$7)</f>
        <v>2.3551364301966125</v>
      </c>
      <c r="N25">
        <f>Cv(D25, E25,compositionRange2(),$E$6,$E$7)</f>
        <v>1.766789490549352</v>
      </c>
      <c r="O25">
        <f>conductivity(D25, E25,compositionRange2(),$E$6,$E$7)</f>
        <v>3.1152591824371748E-2</v>
      </c>
      <c r="P25">
        <f>density(D25, E25,compositionRange2(),$E$6,$E$7)</f>
        <v>8.4071578582752409</v>
      </c>
      <c r="Q25">
        <f>compressibilityFactor(D25, E25,compositionRange2(),$E$6,$E$7)</f>
        <v>0.92752248684994543</v>
      </c>
      <c r="R25">
        <f>JouleThomsonCoefficient(D25, E25,compositionRange2(),$E$6,0)</f>
        <v>0.44635782140534291</v>
      </c>
      <c r="S25">
        <f>speedOfSound(D25, E25,compositionRange2(),$E$6,0)</f>
        <v>400.8094293951583</v>
      </c>
      <c r="T25">
        <f>gibbsEnergy(D25, E25,compositionRange2(),$E$6,$E$7)</f>
        <v>372.40990638830328</v>
      </c>
    </row>
    <row r="26" spans="4:20" x14ac:dyDescent="0.3">
      <c r="D26">
        <f t="shared" si="0"/>
        <v>70</v>
      </c>
      <c r="E26">
        <f t="shared" si="1"/>
        <v>35</v>
      </c>
      <c r="F26">
        <f>enthalpy(D26,E26,compositionRange2(),$E$6,$E$7)</f>
        <v>108.69797298850895</v>
      </c>
      <c r="G26">
        <f>entropy(D26, E26,compositionRange2(),$E$6,$E$7)</f>
        <v>-0.77735759845130392</v>
      </c>
      <c r="H26">
        <f>molecularWeight(D26, E26,compositionRange2(),$E$6,$E$7)</f>
        <v>20.184597085673854</v>
      </c>
      <c r="I26">
        <f>molFraction(D26, E26,compositionRange2(),$E$6,E$7,E$8)</f>
        <v>0.85792318010083446</v>
      </c>
      <c r="J26">
        <f>viscosity(D26, E26,compositionRange2(),$E$6,$E$7)</f>
        <v>1.0793228734961437E-5</v>
      </c>
      <c r="K26">
        <f>phaseFraction(D26, E26,compositionRange2(),$E$6,E$7)</f>
        <v>0.99909045085653159</v>
      </c>
      <c r="L26">
        <f>internalEnergy(D26, E26,compositionRange2(),$E$6,$E$7)</f>
        <v>-22.953741399116826</v>
      </c>
      <c r="M26">
        <f>Cp(D26, E26,compositionRange2(),$E$6,$E$7)</f>
        <v>2.3623237164794055</v>
      </c>
      <c r="N26">
        <f>Cv(D26, E26,compositionRange2(),$E$6,$E$7)</f>
        <v>1.7817529631166433</v>
      </c>
      <c r="O26">
        <f>conductivity(D26, E26,compositionRange2(),$E$6,$E$7)</f>
        <v>3.1152591824371748E-2</v>
      </c>
      <c r="P26">
        <f>density(D26, E26,compositionRange2(),$E$6,$E$7)</f>
        <v>8.4071578582752409</v>
      </c>
      <c r="Q26">
        <f>compressibilityFactor(D26, E26,compositionRange2(),$E$6,$E$7)</f>
        <v>0.93138329087700389</v>
      </c>
      <c r="R26">
        <f>JouleThomsonCoefficient(D26, E26,compositionRange2(),$E$6,0)</f>
        <v>0.43143119149993825</v>
      </c>
      <c r="S26">
        <f>speedOfSound(D26, E26,compositionRange2(),$E$6,0)</f>
        <v>404.37692506798851</v>
      </c>
      <c r="T26">
        <f>gibbsEnergy(D26, E26,compositionRange2(),$E$6,$E$7)</f>
        <v>375.44823289707386</v>
      </c>
    </row>
    <row r="27" spans="4:20" x14ac:dyDescent="0.3">
      <c r="D27">
        <f t="shared" si="0"/>
        <v>75</v>
      </c>
      <c r="E27">
        <f t="shared" si="1"/>
        <v>35</v>
      </c>
      <c r="F27">
        <f>enthalpy(D27,E27,compositionRange2(),$E$6,$E$7)</f>
        <v>120.53251747255085</v>
      </c>
      <c r="G27">
        <f>entropy(D27, E27,compositionRange2(),$E$6,$E$7)</f>
        <v>-0.74174712995780101</v>
      </c>
      <c r="H27">
        <f>molecularWeight(D27, E27,compositionRange2(),$E$6,$E$7)</f>
        <v>20.182623809524138</v>
      </c>
      <c r="I27">
        <f>molFraction(D27, E27,compositionRange2(),$E$6,E$7,E$8)</f>
        <v>0.85714285714287108</v>
      </c>
      <c r="J27">
        <f>viscosity(D27, E27,compositionRange2(),$E$6,$E$7)</f>
        <v>1.0793228734961437E-5</v>
      </c>
      <c r="K27">
        <f>phaseFraction(D27, E27,compositionRange2(),$E$6,E$7)</f>
        <v>1</v>
      </c>
      <c r="L27">
        <f>internalEnergy(D27, E27,compositionRange2(),$E$6,$E$7)</f>
        <v>-13.567466642738502</v>
      </c>
      <c r="M27">
        <f>Cp(D27, E27,compositionRange2(),$E$6,$E$7)</f>
        <v>2.3705155684200392</v>
      </c>
      <c r="N27">
        <f>Cv(D27, E27,compositionRange2(),$E$6,$E$7)</f>
        <v>1.7971450468440737</v>
      </c>
      <c r="O27">
        <f>conductivity(D27, E27,compositionRange2(),$E$6,$E$7)</f>
        <v>3.1152591824371748E-2</v>
      </c>
      <c r="P27">
        <f>density(D27, E27,compositionRange2(),$E$6,$E$7)</f>
        <v>8.4071578582752409</v>
      </c>
      <c r="Q27">
        <f>compressibilityFactor(D27, E27,compositionRange2(),$E$6,$E$7)</f>
        <v>0.93498747732193999</v>
      </c>
      <c r="R27">
        <f>JouleThomsonCoefficient(D27, E27,compositionRange2(),$E$6,0)</f>
        <v>0.417269772035817</v>
      </c>
      <c r="S27">
        <f>speedOfSound(D27, E27,compositionRange2(),$E$6,0)</f>
        <v>407.84277626966804</v>
      </c>
      <c r="T27">
        <f>gibbsEnergy(D27, E27,compositionRange2(),$E$6,$E$7)</f>
        <v>378.7717807673593</v>
      </c>
    </row>
    <row r="28" spans="4:20" x14ac:dyDescent="0.3">
      <c r="D28">
        <f t="shared" si="0"/>
        <v>80</v>
      </c>
      <c r="E28">
        <f t="shared" ref="E28:E42" si="2">E27</f>
        <v>35</v>
      </c>
      <c r="F28">
        <f>enthalpy(D28,E28,compositionRange2(),$E$6,$E$7)</f>
        <v>132.40777231799296</v>
      </c>
      <c r="G28">
        <f>entropy(D28, E28,compositionRange2(),$E$6,$E$7)</f>
        <v>-0.70788030678066038</v>
      </c>
      <c r="H28">
        <f>molecularWeight(D28, E28,compositionRange2(),$E$6,$E$7)</f>
        <v>20.182623809524138</v>
      </c>
      <c r="I28">
        <f>molFraction(D28, E28,compositionRange2(),$E$6,E$7,E$8)</f>
        <v>0.85714285714287108</v>
      </c>
      <c r="J28">
        <f>viscosity(D28, E28,compositionRange2(),$E$6,$E$7)</f>
        <v>1.0793228734961437E-5</v>
      </c>
      <c r="K28">
        <f>phaseFraction(D28, E28,compositionRange2(),$E$6,E$7)</f>
        <v>1</v>
      </c>
      <c r="L28">
        <f>internalEnergy(D28, E28,compositionRange2(),$E$6,$E$7)</f>
        <v>-4.1081990517831972</v>
      </c>
      <c r="M28">
        <f>Cp(D28, E28,compositionRange2(),$E$6,$E$7)</f>
        <v>2.3796905255751355</v>
      </c>
      <c r="N28">
        <f>Cv(D28, E28,compositionRange2(),$E$6,$E$7)</f>
        <v>1.8130086464594368</v>
      </c>
      <c r="O28">
        <f>conductivity(D28, E28,compositionRange2(),$E$6,$E$7)</f>
        <v>3.1152591824371748E-2</v>
      </c>
      <c r="P28">
        <f>density(D28, E28,compositionRange2(),$E$6,$E$7)</f>
        <v>8.4071578582752409</v>
      </c>
      <c r="Q28">
        <f>compressibilityFactor(D28, E28,compositionRange2(),$E$6,$E$7)</f>
        <v>0.93835618381786634</v>
      </c>
      <c r="R28">
        <f>JouleThomsonCoefficient(D28, E28,compositionRange2(),$E$6,0)</f>
        <v>0.403817185344861</v>
      </c>
      <c r="S28">
        <f>speedOfSound(D28, E28,compositionRange2(),$E$6,0)</f>
        <v>411.20859306053671</v>
      </c>
      <c r="T28">
        <f>gibbsEnergy(D28, E28,compositionRange2(),$E$6,$E$7)</f>
        <v>382.39570265758312</v>
      </c>
    </row>
    <row r="29" spans="4:20" x14ac:dyDescent="0.3">
      <c r="D29">
        <f t="shared" si="0"/>
        <v>85</v>
      </c>
      <c r="E29">
        <f t="shared" si="2"/>
        <v>35</v>
      </c>
      <c r="F29">
        <f>enthalpy(D29,E29,compositionRange2(),$E$6,$E$7)</f>
        <v>144.33042295692761</v>
      </c>
      <c r="G29">
        <f>entropy(D29, E29,compositionRange2(),$E$6,$E$7)</f>
        <v>-0.67435636539651422</v>
      </c>
      <c r="H29">
        <f>molecularWeight(D29, E29,compositionRange2(),$E$6,$E$7)</f>
        <v>20.182623809524138</v>
      </c>
      <c r="I29">
        <f>molFraction(D29, E29,compositionRange2(),$E$6,E$7,E$8)</f>
        <v>0.85714285714287108</v>
      </c>
      <c r="J29">
        <f>viscosity(D29, E29,compositionRange2(),$E$6,$E$7)</f>
        <v>1.0793228734961437E-5</v>
      </c>
      <c r="K29">
        <f>phaseFraction(D29, E29,compositionRange2(),$E$6,E$7)</f>
        <v>1</v>
      </c>
      <c r="L29">
        <f>internalEnergy(D29, E29,compositionRange2(),$E$6,$E$7)</f>
        <v>5.412104989865643</v>
      </c>
      <c r="M29">
        <f>Cp(D29, E29,compositionRange2(),$E$6,$E$7)</f>
        <v>2.3894657978565688</v>
      </c>
      <c r="N29">
        <f>Cv(D29, E29,compositionRange2(),$E$6,$E$7)</f>
        <v>1.8290456259050161</v>
      </c>
      <c r="O29">
        <f>conductivity(D29, E29,compositionRange2(),$E$6,$E$7)</f>
        <v>3.1152591824371748E-2</v>
      </c>
      <c r="P29">
        <f>density(D29, E29,compositionRange2(),$E$6,$E$7)</f>
        <v>8.4071578582752409</v>
      </c>
      <c r="Q29">
        <f>compressibilityFactor(D29, E29,compositionRange2(),$E$6,$E$7)</f>
        <v>0.94153838030999348</v>
      </c>
      <c r="R29">
        <f>JouleThomsonCoefficient(D29, E29,compositionRange2(),$E$6,0)</f>
        <v>0.39091645426075672</v>
      </c>
      <c r="S29">
        <f>speedOfSound(D29, E29,compositionRange2(),$E$6,0)</f>
        <v>414.51615398684379</v>
      </c>
      <c r="T29">
        <f>gibbsEnergy(D29, E29,compositionRange2(),$E$6,$E$7)</f>
        <v>385.8511552236892</v>
      </c>
    </row>
    <row r="30" spans="4:20" x14ac:dyDescent="0.3">
      <c r="D30">
        <f t="shared" si="0"/>
        <v>90</v>
      </c>
      <c r="E30">
        <f t="shared" si="2"/>
        <v>35</v>
      </c>
      <c r="F30">
        <f>enthalpy(D30,E30,compositionRange2(),$E$6,$E$7)</f>
        <v>156.30335389824796</v>
      </c>
      <c r="G30">
        <f>entropy(D30, E30,compositionRange2(),$E$6,$E$7)</f>
        <v>-0.64115779879296442</v>
      </c>
      <c r="H30">
        <f>molecularWeight(D30, E30,compositionRange2(),$E$6,$E$7)</f>
        <v>20.182623809524138</v>
      </c>
      <c r="I30">
        <f>molFraction(D30, E30,compositionRange2(),$E$6,E$7,E$8)</f>
        <v>0.85714285714287108</v>
      </c>
      <c r="J30">
        <f>viscosity(D30, E30,compositionRange2(),$E$6,$E$7)</f>
        <v>1.0793228734961437E-5</v>
      </c>
      <c r="K30">
        <f>phaseFraction(D30, E30,compositionRange2(),$E$6,E$7)</f>
        <v>1</v>
      </c>
      <c r="L30">
        <f>internalEnergy(D30, E30,compositionRange2(),$E$6,$E$7)</f>
        <v>14.995525633141357</v>
      </c>
      <c r="M30">
        <f>Cp(D30, E30,compositionRange2(),$E$6,$E$7)</f>
        <v>2.3997953839635642</v>
      </c>
      <c r="N30">
        <f>Cv(D30, E30,compositionRange2(),$E$6,$E$7)</f>
        <v>1.8452480613772795</v>
      </c>
      <c r="O30">
        <f>conductivity(D30, E30,compositionRange2(),$E$6,$E$7)</f>
        <v>3.1152591824371748E-2</v>
      </c>
      <c r="P30">
        <f>density(D30, E30,compositionRange2(),$E$6,$E$7)</f>
        <v>8.4071578582752409</v>
      </c>
      <c r="Q30">
        <f>compressibilityFactor(D30, E30,compositionRange2(),$E$6,$E$7)</f>
        <v>0.94454714722816779</v>
      </c>
      <c r="R30">
        <f>JouleThomsonCoefficient(D30, E30,compositionRange2(),$E$6,0)</f>
        <v>0.37853684965716505</v>
      </c>
      <c r="S30">
        <f>speedOfSound(D30, E30,compositionRange2(),$E$6,0)</f>
        <v>417.76847138993162</v>
      </c>
      <c r="T30">
        <f>gibbsEnergy(D30, E30,compositionRange2(),$E$6,$E$7)</f>
        <v>389.13980852991295</v>
      </c>
    </row>
    <row r="31" spans="4:20" x14ac:dyDescent="0.3">
      <c r="D31">
        <f t="shared" si="0"/>
        <v>95</v>
      </c>
      <c r="E31">
        <f t="shared" si="2"/>
        <v>35</v>
      </c>
      <c r="F31">
        <f>enthalpy(D31,E31,compositionRange2(),$E$6,$E$7)</f>
        <v>168.32923143001835</v>
      </c>
      <c r="G31">
        <f>entropy(D31, E31,compositionRange2(),$E$6,$E$7)</f>
        <v>-0.60826841510430107</v>
      </c>
      <c r="H31">
        <f>molecularWeight(D31, E31,compositionRange2(),$E$6,$E$7)</f>
        <v>20.182623809524138</v>
      </c>
      <c r="I31">
        <f>molFraction(D31, E31,compositionRange2(),$E$6,E$7,E$8)</f>
        <v>0.85714285714287108</v>
      </c>
      <c r="J31">
        <f>viscosity(D31, E31,compositionRange2(),$E$6,$E$7)</f>
        <v>1.0793228734961437E-5</v>
      </c>
      <c r="K31">
        <f>phaseFraction(D31, E31,compositionRange2(),$E$6,E$7)</f>
        <v>1</v>
      </c>
      <c r="L31">
        <f>internalEnergy(D31, E31,compositionRange2(),$E$6,$E$7)</f>
        <v>24.64399176768984</v>
      </c>
      <c r="M31">
        <f>Cp(D31, E31,compositionRange2(),$E$6,$E$7)</f>
        <v>2.4106378820510468</v>
      </c>
      <c r="N31">
        <f>Cv(D31, E31,compositionRange2(),$E$6,$E$7)</f>
        <v>1.8616082468536512</v>
      </c>
      <c r="O31">
        <f>conductivity(D31, E31,compositionRange2(),$E$6,$E$7)</f>
        <v>3.1152591824371748E-2</v>
      </c>
      <c r="P31">
        <f>density(D31, E31,compositionRange2(),$E$6,$E$7)</f>
        <v>8.4071578582752409</v>
      </c>
      <c r="Q31">
        <f>compressibilityFactor(D31, E31,compositionRange2(),$E$6,$E$7)</f>
        <v>0.94739441289852444</v>
      </c>
      <c r="R31">
        <f>JouleThomsonCoefficient(D31, E31,compositionRange2(),$E$6,0)</f>
        <v>0.36665003052963074</v>
      </c>
      <c r="S31">
        <f>speedOfSound(D31, E31,compositionRange2(),$E$6,0)</f>
        <v>420.96833145424273</v>
      </c>
      <c r="T31">
        <f>gibbsEnergy(D31, E31,compositionRange2(),$E$6,$E$7)</f>
        <v>392.26324845066677</v>
      </c>
    </row>
    <row r="32" spans="4:20" x14ac:dyDescent="0.3">
      <c r="D32">
        <f t="shared" si="0"/>
        <v>100</v>
      </c>
      <c r="E32">
        <f t="shared" si="2"/>
        <v>35</v>
      </c>
      <c r="F32">
        <f>enthalpy(D32,E32,compositionRange2(),$E$6,$E$7)</f>
        <v>180.41052499397685</v>
      </c>
      <c r="G32">
        <f>entropy(D32, E32,compositionRange2(),$E$6,$E$7)</f>
        <v>-0.57567320895968088</v>
      </c>
      <c r="H32">
        <f>molecularWeight(D32, E32,compositionRange2(),$E$6,$E$7)</f>
        <v>20.182623809524138</v>
      </c>
      <c r="I32">
        <f>molFraction(D32, E32,compositionRange2(),$E$6,E$7,E$8)</f>
        <v>0.85714285714287108</v>
      </c>
      <c r="J32">
        <f>viscosity(D32, E32,compositionRange2(),$E$6,$E$7)</f>
        <v>1.0793228734961437E-5</v>
      </c>
      <c r="K32">
        <f>phaseFraction(D32, E32,compositionRange2(),$E$6,E$7)</f>
        <v>1</v>
      </c>
      <c r="L32">
        <f>internalEnergy(D32, E32,compositionRange2(),$E$6,$E$7)</f>
        <v>34.359295116201864</v>
      </c>
      <c r="M32">
        <f>Cp(D32, E32,compositionRange2(),$E$6,$E$7)</f>
        <v>2.4219558596935449</v>
      </c>
      <c r="N32">
        <f>Cv(D32, E32,compositionRange2(),$E$6,$E$7)</f>
        <v>1.8781186789587958</v>
      </c>
      <c r="O32">
        <f>conductivity(D32, E32,compositionRange2(),$E$6,$E$7)</f>
        <v>3.1152591824371748E-2</v>
      </c>
      <c r="P32">
        <f>density(D32, E32,compositionRange2(),$E$6,$E$7)</f>
        <v>8.4071578582752409</v>
      </c>
      <c r="Q32">
        <f>compressibilityFactor(D32, E32,compositionRange2(),$E$6,$E$7)</f>
        <v>0.95009107809008975</v>
      </c>
      <c r="R32">
        <f>JouleThomsonCoefficient(D32, E32,compositionRange2(),$E$6,0)</f>
        <v>0.35522979201164012</v>
      </c>
      <c r="S32">
        <f>speedOfSound(D32, E32,compositionRange2(),$E$6,0)</f>
        <v>424.11831668446786</v>
      </c>
      <c r="T32">
        <f>gibbsEnergy(D32, E32,compositionRange2(),$E$6,$E$7)</f>
        <v>395.2229829172818</v>
      </c>
    </row>
    <row r="33" spans="4:20" x14ac:dyDescent="0.3">
      <c r="D33">
        <f t="shared" si="0"/>
        <v>105</v>
      </c>
      <c r="E33">
        <f t="shared" si="2"/>
        <v>35</v>
      </c>
      <c r="F33">
        <f>enthalpy(D33,E33,compositionRange2(),$E$6,$E$7)</f>
        <v>192.54952567702799</v>
      </c>
      <c r="G33">
        <f>entropy(D33, E33,compositionRange2(),$E$6,$E$7)</f>
        <v>-0.54335824907104802</v>
      </c>
      <c r="H33">
        <f>molecularWeight(D33, E33,compositionRange2(),$E$6,$E$7)</f>
        <v>20.182623809524138</v>
      </c>
      <c r="I33">
        <f>molFraction(D33, E33,compositionRange2(),$E$6,E$7,E$8)</f>
        <v>0.85714285714287108</v>
      </c>
      <c r="J33">
        <f>viscosity(D33, E33,compositionRange2(),$E$6,$E$7)</f>
        <v>1.0793228734961437E-5</v>
      </c>
      <c r="K33">
        <f>phaseFraction(D33, E33,compositionRange2(),$E$6,E$7)</f>
        <v>1</v>
      </c>
      <c r="L33">
        <f>internalEnergy(D33, E33,compositionRange2(),$E$6,$E$7)</f>
        <v>44.143102421073699</v>
      </c>
      <c r="M33">
        <f>Cp(D33, E33,compositionRange2(),$E$6,$E$7)</f>
        <v>2.4337153271030871</v>
      </c>
      <c r="N33">
        <f>Cv(D33, E33,compositionRange2(),$E$6,$E$7)</f>
        <v>1.8947720439097488</v>
      </c>
      <c r="O33">
        <f>conductivity(D33, E33,compositionRange2(),$E$6,$E$7)</f>
        <v>3.1152591824371748E-2</v>
      </c>
      <c r="P33">
        <f>density(D33, E33,compositionRange2(),$E$6,$E$7)</f>
        <v>8.4071578582752409</v>
      </c>
      <c r="Q33">
        <f>compressibilityFactor(D33, E33,compositionRange2(),$E$6,$E$7)</f>
        <v>0.95264712441978372</v>
      </c>
      <c r="R33">
        <f>JouleThomsonCoefficient(D33, E33,compositionRange2(),$E$6,0)</f>
        <v>0.34425184683726295</v>
      </c>
      <c r="S33">
        <f>speedOfSound(D33, E33,compositionRange2(),$E$6,0)</f>
        <v>427.22082555946758</v>
      </c>
      <c r="T33">
        <f>gibbsEnergy(D33, E33,compositionRange2(),$E$6,$E$7)</f>
        <v>398.02044756324483</v>
      </c>
    </row>
    <row r="34" spans="4:20" x14ac:dyDescent="0.3">
      <c r="D34">
        <f t="shared" si="0"/>
        <v>110</v>
      </c>
      <c r="E34">
        <f t="shared" si="2"/>
        <v>35</v>
      </c>
      <c r="F34">
        <f>enthalpy(D34,E34,compositionRange2(),$E$6,$E$7)</f>
        <v>204.74836228580398</v>
      </c>
      <c r="G34">
        <f>entropy(D34, E34,compositionRange2(),$E$6,$E$7)</f>
        <v>-0.51131057955592818</v>
      </c>
      <c r="H34">
        <f>molecularWeight(D34, E34,compositionRange2(),$E$6,$E$7)</f>
        <v>20.182623809524138</v>
      </c>
      <c r="I34">
        <f>molFraction(D34, E34,compositionRange2(),$E$6,E$7,E$8)</f>
        <v>0.85714285714287108</v>
      </c>
      <c r="J34">
        <f>viscosity(D34, E34,compositionRange2(),$E$6,$E$7)</f>
        <v>1.0793228734961437E-5</v>
      </c>
      <c r="K34">
        <f>phaseFraction(D34, E34,compositionRange2(),$E$6,E$7)</f>
        <v>1</v>
      </c>
      <c r="L34">
        <f>internalEnergy(D34, E34,compositionRange2(),$E$6,$E$7)</f>
        <v>53.996966035071033</v>
      </c>
      <c r="M34">
        <f>Cp(D34, E34,compositionRange2(),$E$6,$E$7)</f>
        <v>2.4458852942882965</v>
      </c>
      <c r="N34">
        <f>Cv(D34, E34,compositionRange2(),$E$6,$E$7)</f>
        <v>1.9115612062048606</v>
      </c>
      <c r="O34">
        <f>conductivity(D34, E34,compositionRange2(),$E$6,$E$7)</f>
        <v>3.1152591824371748E-2</v>
      </c>
      <c r="P34">
        <f>density(D34, E34,compositionRange2(),$E$6,$E$7)</f>
        <v>8.4071578582752409</v>
      </c>
      <c r="Q34">
        <f>compressibilityFactor(D34, E34,compositionRange2(),$E$6,$E$7)</f>
        <v>0.95507170906853656</v>
      </c>
      <c r="R34">
        <f>JouleThomsonCoefficient(D34, E34,compositionRange2(),$E$6,0)</f>
        <v>0.33369363502219995</v>
      </c>
      <c r="S34">
        <f>speedOfSound(D34, E34,compositionRange2(),$E$6,0)</f>
        <v>430.27808978975122</v>
      </c>
      <c r="T34">
        <f>gibbsEnergy(D34, E34,compositionRange2(),$E$6,$E$7)</f>
        <v>400.65701084265783</v>
      </c>
    </row>
    <row r="35" spans="4:20" x14ac:dyDescent="0.3">
      <c r="D35">
        <f t="shared" si="0"/>
        <v>115</v>
      </c>
      <c r="E35">
        <f t="shared" si="2"/>
        <v>35</v>
      </c>
      <c r="F35">
        <f>enthalpy(D35,E35,compositionRange2(),$E$6,$E$7)</f>
        <v>217.00901538434081</v>
      </c>
      <c r="G35">
        <f>entropy(D35, E35,compositionRange2(),$E$6,$E$7)</f>
        <v>-0.4795181329407236</v>
      </c>
      <c r="H35">
        <f>molecularWeight(D35, E35,compositionRange2(),$E$6,$E$7)</f>
        <v>20.182623809524138</v>
      </c>
      <c r="I35">
        <f>molFraction(D35, E35,compositionRange2(),$E$6,E$7,E$8)</f>
        <v>0.85714285714287108</v>
      </c>
      <c r="J35">
        <f>viscosity(D35, E35,compositionRange2(),$E$6,$E$7)</f>
        <v>1.0793228734961437E-5</v>
      </c>
      <c r="K35">
        <f>phaseFraction(D35, E35,compositionRange2(),$E$6,E$7)</f>
        <v>1</v>
      </c>
      <c r="L35">
        <f>internalEnergy(D35, E35,compositionRange2(),$E$6,$E$7)</f>
        <v>63.922333169663098</v>
      </c>
      <c r="M35">
        <f>Cp(D35, E35,compositionRange2(),$E$6,$E$7)</f>
        <v>2.4584373968784643</v>
      </c>
      <c r="N35">
        <f>Cv(D35, E35,compositionRange2(),$E$6,$E$7)</f>
        <v>1.9284791987831527</v>
      </c>
      <c r="O35">
        <f>conductivity(D35, E35,compositionRange2(),$E$6,$E$7)</f>
        <v>3.1152591824371748E-2</v>
      </c>
      <c r="P35">
        <f>density(D35, E35,compositionRange2(),$E$6,$E$7)</f>
        <v>8.4071578582752409</v>
      </c>
      <c r="Q35">
        <f>compressibilityFactor(D35, E35,compositionRange2(),$E$6,$E$7)</f>
        <v>0.95737324783321465</v>
      </c>
      <c r="R35">
        <f>JouleThomsonCoefficient(D35, E35,compositionRange2(),$E$6,0)</f>
        <v>0.3235341574619065</v>
      </c>
      <c r="S35">
        <f>speedOfSound(D35, E35,compositionRange2(),$E$6,0)</f>
        <v>433.29218953072512</v>
      </c>
      <c r="T35">
        <f>gibbsEnergy(D35, E35,compositionRange2(),$E$6,$E$7)</f>
        <v>403.13397868528267</v>
      </c>
    </row>
    <row r="36" spans="4:20" x14ac:dyDescent="0.3">
      <c r="D36">
        <f t="shared" si="0"/>
        <v>120</v>
      </c>
      <c r="E36">
        <f t="shared" si="2"/>
        <v>35</v>
      </c>
      <c r="F36">
        <f>enthalpy(D36,E36,compositionRange2(),$E$6,$E$7)</f>
        <v>229.33332960663816</v>
      </c>
      <c r="G36">
        <f>entropy(D36, E36,compositionRange2(),$E$6,$E$7)</f>
        <v>-0.44796965314910941</v>
      </c>
      <c r="H36">
        <f>molecularWeight(D36, E36,compositionRange2(),$E$6,$E$7)</f>
        <v>20.182623809524138</v>
      </c>
      <c r="I36">
        <f>molFraction(D36, E36,compositionRange2(),$E$6,E$7,E$8)</f>
        <v>0.85714285714287108</v>
      </c>
      <c r="J36">
        <f>viscosity(D36, E36,compositionRange2(),$E$6,$E$7)</f>
        <v>1.0793228734961437E-5</v>
      </c>
      <c r="K36">
        <f>phaseFraction(D36, E36,compositionRange2(),$E$6,E$7)</f>
        <v>1</v>
      </c>
      <c r="L36">
        <f>internalEnergy(D36, E36,compositionRange2(),$E$6,$E$7)</f>
        <v>73.920554008738861</v>
      </c>
      <c r="M36">
        <f>Cp(D36, E36,compositionRange2(),$E$6,$E$7)</f>
        <v>2.4713455784452232</v>
      </c>
      <c r="N36">
        <f>Cv(D36, E36,compositionRange2(),$E$6,$E$7)</f>
        <v>1.9455192144296971</v>
      </c>
      <c r="O36">
        <f>conductivity(D36, E36,compositionRange2(),$E$6,$E$7)</f>
        <v>3.1152591824371748E-2</v>
      </c>
      <c r="P36">
        <f>density(D36, E36,compositionRange2(),$E$6,$E$7)</f>
        <v>8.4071578582752409</v>
      </c>
      <c r="Q36">
        <f>compressibilityFactor(D36, E36,compositionRange2(),$E$6,$E$7)</f>
        <v>0.9595594881952324</v>
      </c>
      <c r="R36">
        <f>JouleThomsonCoefficient(D36, E36,compositionRange2(),$E$6,0)</f>
        <v>0.31375382988964906</v>
      </c>
      <c r="S36">
        <f>speedOfSound(D36, E36,compositionRange2(),$E$6,0)</f>
        <v>436.26506684399232</v>
      </c>
      <c r="T36">
        <f>gibbsEnergy(D36, E36,compositionRange2(),$E$6,$E$7)</f>
        <v>405.45259874221051</v>
      </c>
    </row>
    <row r="37" spans="4:20" x14ac:dyDescent="0.3">
      <c r="D37">
        <f t="shared" si="0"/>
        <v>125</v>
      </c>
      <c r="E37">
        <f t="shared" si="2"/>
        <v>35</v>
      </c>
      <c r="F37">
        <f>enthalpy(D37,E37,compositionRange2(),$E$6,$E$7)</f>
        <v>241.72302450132352</v>
      </c>
      <c r="G37">
        <f>entropy(D37, E37,compositionRange2(),$E$6,$E$7)</f>
        <v>-0.41665462706800294</v>
      </c>
      <c r="H37">
        <f>molecularWeight(D37, E37,compositionRange2(),$E$6,$E$7)</f>
        <v>20.182623809524138</v>
      </c>
      <c r="I37">
        <f>molFraction(D37, E37,compositionRange2(),$E$6,E$7,E$8)</f>
        <v>0.85714285714287108</v>
      </c>
      <c r="J37">
        <f>viscosity(D37, E37,compositionRange2(),$E$6,$E$7)</f>
        <v>1.0793228734961437E-5</v>
      </c>
      <c r="K37">
        <f>phaseFraction(D37, E37,compositionRange2(),$E$6,E$7)</f>
        <v>1</v>
      </c>
      <c r="L37">
        <f>internalEnergy(D37, E37,compositionRange2(),$E$6,$E$7)</f>
        <v>83.99288885876328</v>
      </c>
      <c r="M37">
        <f>Cp(D37, E37,compositionRange2(),$E$6,$E$7)</f>
        <v>2.4845858195669188</v>
      </c>
      <c r="N37">
        <f>Cv(D37, E37,compositionRange2(),$E$6,$E$7)</f>
        <v>1.9626745982417575</v>
      </c>
      <c r="O37">
        <f>conductivity(D37, E37,compositionRange2(),$E$6,$E$7)</f>
        <v>3.1152591824371748E-2</v>
      </c>
      <c r="P37">
        <f>density(D37, E37,compositionRange2(),$E$6,$E$7)</f>
        <v>8.4071578582752409</v>
      </c>
      <c r="Q37">
        <f>compressibilityFactor(D37, E37,compositionRange2(),$E$6,$E$7)</f>
        <v>0.9616375738087557</v>
      </c>
      <c r="R37">
        <f>JouleThomsonCoefficient(D37, E37,compositionRange2(),$E$6,0)</f>
        <v>0.30433435423841965</v>
      </c>
      <c r="S37">
        <f>speedOfSound(D37, E37,compositionRange2(),$E$6,0)</f>
        <v>439.19853765054307</v>
      </c>
      <c r="T37">
        <f>gibbsEnergy(D37, E37,compositionRange2(),$E$6,$E$7)</f>
        <v>407.61406426844894</v>
      </c>
    </row>
    <row r="38" spans="4:20" x14ac:dyDescent="0.3">
      <c r="D38">
        <f t="shared" si="0"/>
        <v>130</v>
      </c>
      <c r="E38">
        <f t="shared" si="2"/>
        <v>35</v>
      </c>
      <c r="F38">
        <f>enthalpy(D38,E38,compositionRange2(),$E$6,$E$7)</f>
        <v>254.17970412176297</v>
      </c>
      <c r="G38">
        <f>entropy(D38, E38,compositionRange2(),$E$6,$E$7)</f>
        <v>-0.38556322351613409</v>
      </c>
      <c r="H38">
        <f>molecularWeight(D38, E38,compositionRange2(),$E$6,$E$7)</f>
        <v>20.182623809524138</v>
      </c>
      <c r="I38">
        <f>molFraction(D38, E38,compositionRange2(),$E$6,E$7,E$8)</f>
        <v>0.85714285714287108</v>
      </c>
      <c r="J38">
        <f>viscosity(D38, E38,compositionRange2(),$E$6,$E$7)</f>
        <v>1.0793228734961437E-5</v>
      </c>
      <c r="K38">
        <f>phaseFraction(D38, E38,compositionRange2(),$E$6,E$7)</f>
        <v>1</v>
      </c>
      <c r="L38">
        <f>internalEnergy(D38, E38,compositionRange2(),$E$6,$E$7)</f>
        <v>94.140514476996856</v>
      </c>
      <c r="M38">
        <f>Cp(D38, E38,compositionRange2(),$E$6,$E$7)</f>
        <v>2.4981359057666177</v>
      </c>
      <c r="N38">
        <f>Cv(D38, E38,compositionRange2(),$E$6,$E$7)</f>
        <v>1.9799388410019449</v>
      </c>
      <c r="O38">
        <f>conductivity(D38, E38,compositionRange2(),$E$6,$E$7)</f>
        <v>3.1152591824371748E-2</v>
      </c>
      <c r="P38">
        <f>density(D38, E38,compositionRange2(),$E$6,$E$7)</f>
        <v>8.4071578582752409</v>
      </c>
      <c r="Q38">
        <f>compressibilityFactor(D38, E38,compositionRange2(),$E$6,$E$7)</f>
        <v>0.96361410158524818</v>
      </c>
      <c r="R38">
        <f>JouleThomsonCoefficient(D38, E38,compositionRange2(),$E$6,0)</f>
        <v>0.29525860493876382</v>
      </c>
      <c r="S38">
        <f>speedOfSound(D38, E38,compositionRange2(),$E$6,0)</f>
        <v>442.09430238027147</v>
      </c>
      <c r="T38">
        <f>gibbsEnergy(D38, E38,compositionRange2(),$E$6,$E$7)</f>
        <v>409.61951768229238</v>
      </c>
    </row>
    <row r="39" spans="4:20" x14ac:dyDescent="0.3">
      <c r="D39">
        <f t="shared" si="0"/>
        <v>135</v>
      </c>
      <c r="E39">
        <f t="shared" si="2"/>
        <v>35</v>
      </c>
      <c r="F39">
        <f>enthalpy(D39,E39,compositionRange2(),$E$6,$E$7)</f>
        <v>266.70486553947978</v>
      </c>
      <c r="G39">
        <f>entropy(D39, E39,compositionRange2(),$E$6,$E$7)</f>
        <v>-0.35468623862912391</v>
      </c>
      <c r="H39">
        <f>molecularWeight(D39, E39,compositionRange2(),$E$6,$E$7)</f>
        <v>20.182623809524138</v>
      </c>
      <c r="I39">
        <f>molFraction(D39, E39,compositionRange2(),$E$6,E$7,E$8)</f>
        <v>0.85714285714287108</v>
      </c>
      <c r="J39">
        <f>viscosity(D39, E39,compositionRange2(),$E$6,$E$7)</f>
        <v>1.0793228734961437E-5</v>
      </c>
      <c r="K39">
        <f>phaseFraction(D39, E39,compositionRange2(),$E$6,E$7)</f>
        <v>1</v>
      </c>
      <c r="L39">
        <f>internalEnergy(D39, E39,compositionRange2(),$E$6,$E$7)</f>
        <v>104.36452969564073</v>
      </c>
      <c r="M39">
        <f>Cp(D39, E39,compositionRange2(),$E$6,$E$7)</f>
        <v>2.5119752279387657</v>
      </c>
      <c r="N39">
        <f>Cv(D39, E39,compositionRange2(),$E$6,$E$7)</f>
        <v>1.997305573330139</v>
      </c>
      <c r="O39">
        <f>conductivity(D39, E39,compositionRange2(),$E$6,$E$7)</f>
        <v>3.1152591824371748E-2</v>
      </c>
      <c r="P39">
        <f>density(D39, E39,compositionRange2(),$E$6,$E$7)</f>
        <v>8.4071578582752409</v>
      </c>
      <c r="Q39">
        <f>compressibilityFactor(D39, E39,compositionRange2(),$E$6,$E$7)</f>
        <v>0.96549517236607807</v>
      </c>
      <c r="R39">
        <f>JouleThomsonCoefficient(D39, E39,compositionRange2(),$E$6,0)</f>
        <v>0.28651052808304983</v>
      </c>
      <c r="S39">
        <f>speedOfSound(D39, E39,compositionRange2(),$E$6,0)</f>
        <v>444.95395549002689</v>
      </c>
      <c r="T39">
        <f>gibbsEnergy(D39, E39,compositionRange2(),$E$6,$E$7)</f>
        <v>411.47005383595666</v>
      </c>
    </row>
    <row r="40" spans="4:20" x14ac:dyDescent="0.3">
      <c r="D40">
        <f t="shared" si="0"/>
        <v>140</v>
      </c>
      <c r="E40">
        <f t="shared" si="2"/>
        <v>35</v>
      </c>
      <c r="F40">
        <f>enthalpy(D40,E40,compositionRange2(),$E$6,$E$7)</f>
        <v>279.299906429864</v>
      </c>
      <c r="G40">
        <f>entropy(D40, E40,compositionRange2(),$E$6,$E$7)</f>
        <v>-0.32401504682936555</v>
      </c>
      <c r="H40">
        <f>molecularWeight(D40, E40,compositionRange2(),$E$6,$E$7)</f>
        <v>20.182623809524138</v>
      </c>
      <c r="I40">
        <f>molFraction(D40, E40,compositionRange2(),$E$6,E$7,E$8)</f>
        <v>0.85714285714287108</v>
      </c>
      <c r="J40">
        <f>viscosity(D40, E40,compositionRange2(),$E$6,$E$7)</f>
        <v>1.0793228734961437E-5</v>
      </c>
      <c r="K40">
        <f>phaseFraction(D40, E40,compositionRange2(),$E$6,E$7)</f>
        <v>1</v>
      </c>
      <c r="L40">
        <f>internalEnergy(D40, E40,compositionRange2(),$E$6,$E$7)</f>
        <v>114.6659604404597</v>
      </c>
      <c r="M40">
        <f>Cp(D40, E40,compositionRange2(),$E$6,$E$7)</f>
        <v>2.5260846100550309</v>
      </c>
      <c r="N40">
        <f>Cv(D40, E40,compositionRange2(),$E$6,$E$7)</f>
        <v>2.014768560506671</v>
      </c>
      <c r="O40">
        <f>conductivity(D40, E40,compositionRange2(),$E$6,$E$7)</f>
        <v>3.1152591824371748E-2</v>
      </c>
      <c r="P40">
        <f>density(D40, E40,compositionRange2(),$E$6,$E$7)</f>
        <v>8.4071578582752409</v>
      </c>
      <c r="Q40">
        <f>compressibilityFactor(D40, E40,compositionRange2(),$E$6,$E$7)</f>
        <v>0.96728643602267095</v>
      </c>
      <c r="R40">
        <f>JouleThomsonCoefficient(D40, E40,compositionRange2(),$E$6,0)</f>
        <v>0.2780750517136355</v>
      </c>
      <c r="S40">
        <f>speedOfSound(D40, E40,compositionRange2(),$E$6,0)</f>
        <v>447.77899399592133</v>
      </c>
      <c r="T40">
        <f>gibbsEnergy(D40, E40,compositionRange2(),$E$6,$E$7)</f>
        <v>413.16672302741637</v>
      </c>
    </row>
    <row r="41" spans="4:20" x14ac:dyDescent="0.3">
      <c r="D41">
        <f t="shared" si="0"/>
        <v>145</v>
      </c>
      <c r="E41">
        <f t="shared" si="2"/>
        <v>35</v>
      </c>
      <c r="F41">
        <f>enthalpy(D41,E41,compositionRange2(),$E$6,$E$7)</f>
        <v>291.96613185553787</v>
      </c>
      <c r="G41">
        <f>entropy(D41, E41,compositionRange2(),$E$6,$E$7)</f>
        <v>-0.29354155667588477</v>
      </c>
      <c r="H41">
        <f>molecularWeight(D41, E41,compositionRange2(),$E$6,$E$7)</f>
        <v>20.182623809524138</v>
      </c>
      <c r="I41">
        <f>molFraction(D41, E41,compositionRange2(),$E$6,E$7,E$8)</f>
        <v>0.85714285714287108</v>
      </c>
      <c r="J41">
        <f>viscosity(D41, E41,compositionRange2(),$E$6,$E$7)</f>
        <v>1.0793228734961437E-5</v>
      </c>
      <c r="K41">
        <f>phaseFraction(D41, E41,compositionRange2(),$E$6,E$7)</f>
        <v>1</v>
      </c>
      <c r="L41">
        <f>internalEnergy(D41, E41,compositionRange2(),$E$6,$E$7)</f>
        <v>125.04576422666928</v>
      </c>
      <c r="M41">
        <f>Cp(D41, E41,compositionRange2(),$E$6,$E$7)</f>
        <v>2.5404461598766805</v>
      </c>
      <c r="N41">
        <f>Cv(D41, E41,compositionRange2(),$E$6,$E$7)</f>
        <v>2.0323216978762604</v>
      </c>
      <c r="O41">
        <f>conductivity(D41, E41,compositionRange2(),$E$6,$E$7)</f>
        <v>3.1152591824371748E-2</v>
      </c>
      <c r="P41">
        <f>density(D41, E41,compositionRange2(),$E$6,$E$7)</f>
        <v>8.4071578582752409</v>
      </c>
      <c r="Q41">
        <f>compressibilityFactor(D41, E41,compositionRange2(),$E$6,$E$7)</f>
        <v>0.9689931316978142</v>
      </c>
      <c r="R41">
        <f>JouleThomsonCoefficient(D41, E41,compositionRange2(),$E$6,0)</f>
        <v>0.26993800576182458</v>
      </c>
      <c r="S41">
        <f>speedOfSound(D41, E41,compositionRange2(),$E$6,0)</f>
        <v>450.5708251437257</v>
      </c>
      <c r="T41">
        <f>gibbsEnergy(D41, E41,compositionRange2(),$E$6,$E$7)</f>
        <v>414.71053377955911</v>
      </c>
    </row>
    <row r="42" spans="4:20" x14ac:dyDescent="0.3">
      <c r="D42">
        <f t="shared" si="0"/>
        <v>150</v>
      </c>
      <c r="E42">
        <f t="shared" si="2"/>
        <v>35</v>
      </c>
      <c r="F42">
        <f>enthalpy(D42,E42,compositionRange2(),$E$6,$E$7)</f>
        <v>304.70476035332666</v>
      </c>
      <c r="G42">
        <f>entropy(D42, E42,compositionRange2(),$E$6,$E$7)</f>
        <v>-0.2632581709942175</v>
      </c>
      <c r="H42">
        <f>molecularWeight(D42, E42,compositionRange2(),$E$6,$E$7)</f>
        <v>20.182623809524138</v>
      </c>
      <c r="I42">
        <f>molFraction(D42, E42,compositionRange2(),$E$6,E$7,E$8)</f>
        <v>0.85714285714287108</v>
      </c>
      <c r="J42">
        <f>viscosity(D42, E42,compositionRange2(),$E$6,$E$7)</f>
        <v>1.0793228734961437E-5</v>
      </c>
      <c r="K42">
        <f>phaseFraction(D42, E42,compositionRange2(),$E$6,E$7)</f>
        <v>1</v>
      </c>
      <c r="L42">
        <f>internalEnergy(D42, E42,compositionRange2(),$E$6,$E$7)</f>
        <v>135.50483420193407</v>
      </c>
      <c r="M42">
        <f>Cp(D42, E42,compositionRange2(),$E$6,$E$7)</f>
        <v>2.5550431391517177</v>
      </c>
      <c r="N42">
        <f>Cv(D42, E42,compositionRange2(),$E$6,$E$7)</f>
        <v>2.0499590067561928</v>
      </c>
      <c r="O42">
        <f>conductivity(D42, E42,compositionRange2(),$E$6,$E$7)</f>
        <v>3.1152591824371748E-2</v>
      </c>
      <c r="P42">
        <f>density(D42, E42,compositionRange2(),$E$6,$E$7)</f>
        <v>8.4071578582752409</v>
      </c>
      <c r="Q42">
        <f>compressibilityFactor(D42, E42,compositionRange2(),$E$6,$E$7)</f>
        <v>0.97062012379709761</v>
      </c>
      <c r="R42">
        <f>JouleThomsonCoefficient(D42, E42,compositionRange2(),$E$6,0)</f>
        <v>0.26208605038756233</v>
      </c>
      <c r="S42">
        <f>speedOfSound(D42, E42,compositionRange2(),$E$6,0)</f>
        <v>453.33077332301406</v>
      </c>
      <c r="T42">
        <f>gibbsEnergy(D42, E42,compositionRange2(),$E$6,$E$7)</f>
        <v>416.1024554095298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236220</xdr:colOff>
                    <xdr:row>0</xdr:row>
                    <xdr:rowOff>30480</xdr:rowOff>
                  </from>
                  <to>
                    <xdr:col>3</xdr:col>
                    <xdr:colOff>365760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compositionRange</vt:lpstr>
      <vt:lpstr>compRange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Even Solbraa</dc:creator>
  <cp:lastModifiedBy>Marlene Louise Lund</cp:lastModifiedBy>
  <dcterms:created xsi:type="dcterms:W3CDTF">2018-10-19T06:56:15Z</dcterms:created>
  <dcterms:modified xsi:type="dcterms:W3CDTF">2018-11-26T11:23:08Z</dcterms:modified>
</cp:coreProperties>
</file>