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statoilsrm-my.sharepoint.com/personal/esol_equinor_com/Documents/programming/NeqSim.NET/neqsimvba/neqsim2.0/"/>
    </mc:Choice>
  </mc:AlternateContent>
  <xr:revisionPtr revIDLastSave="0" documentId="8_{A89B67D2-FA87-4DC3-8C3F-86630C84662D}" xr6:coauthVersionLast="41" xr6:coauthVersionMax="41" xr10:uidLastSave="{00000000-0000-0000-0000-000000000000}"/>
  <bookViews>
    <workbookView xWindow="-120" yWindow="-120" windowWidth="29040" windowHeight="15840" xr2:uid="{DEDFD768-1505-4493-8622-0266F6288E92}"/>
  </bookViews>
  <sheets>
    <sheet name="Sheet1" sheetId="1" r:id="rId1"/>
  </sheets>
  <functionGroups builtInGroupCount="19"/>
  <definedNames>
    <definedName name="compositionRange">Sheet1!$B$4:$B$19</definedName>
    <definedName name="compRange">Sheet1!$B$4:$B$13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15" i="1" l="1"/>
  <c r="Q14" i="1"/>
  <c r="N14" i="1"/>
  <c r="P14" i="1"/>
  <c r="O14" i="1"/>
  <c r="L14" i="1"/>
  <c r="M14" i="1"/>
  <c r="K14" i="1"/>
  <c r="G14" i="1"/>
  <c r="I14" i="1"/>
  <c r="F14" i="1"/>
  <c r="T14" i="1"/>
  <c r="R14" i="1"/>
  <c r="S14" i="1"/>
  <c r="J14" i="1"/>
  <c r="H14" i="1"/>
  <c r="E16" i="1" l="1"/>
  <c r="D15" i="1"/>
  <c r="N15" i="1"/>
  <c r="I15" i="1"/>
  <c r="S15" i="1"/>
  <c r="P15" i="1"/>
  <c r="G15" i="1"/>
  <c r="M15" i="1"/>
  <c r="F15" i="1"/>
  <c r="K15" i="1"/>
  <c r="R15" i="1"/>
  <c r="T15" i="1"/>
  <c r="L15" i="1"/>
  <c r="O15" i="1"/>
  <c r="J15" i="1"/>
  <c r="H15" i="1"/>
  <c r="Q15" i="1"/>
  <c r="E17" i="1" l="1"/>
  <c r="D16" i="1"/>
  <c r="M16" i="1"/>
  <c r="T16" i="1"/>
  <c r="N16" i="1"/>
  <c r="L16" i="1"/>
  <c r="Q16" i="1"/>
  <c r="I16" i="1"/>
  <c r="P16" i="1"/>
  <c r="S16" i="1"/>
  <c r="F16" i="1"/>
  <c r="K16" i="1"/>
  <c r="H16" i="1"/>
  <c r="G16" i="1"/>
  <c r="R16" i="1"/>
  <c r="J16" i="1"/>
  <c r="O16" i="1"/>
  <c r="E18" i="1" l="1"/>
  <c r="D17" i="1"/>
  <c r="L17" i="1"/>
  <c r="G17" i="1"/>
  <c r="Q17" i="1"/>
  <c r="O17" i="1"/>
  <c r="J17" i="1"/>
  <c r="H17" i="1"/>
  <c r="S17" i="1"/>
  <c r="K17" i="1"/>
  <c r="R17" i="1"/>
  <c r="T17" i="1"/>
  <c r="M17" i="1"/>
  <c r="P17" i="1"/>
  <c r="I17" i="1"/>
  <c r="F17" i="1"/>
  <c r="N17" i="1"/>
  <c r="E19" i="1" l="1"/>
  <c r="D18" i="1"/>
  <c r="H18" i="1"/>
  <c r="G18" i="1"/>
  <c r="R18" i="1"/>
  <c r="T18" i="1"/>
  <c r="L18" i="1"/>
  <c r="Q18" i="1"/>
  <c r="O18" i="1"/>
  <c r="N18" i="1"/>
  <c r="I18" i="1"/>
  <c r="P18" i="1"/>
  <c r="J18" i="1"/>
  <c r="F18" i="1"/>
  <c r="K18" i="1"/>
  <c r="S18" i="1"/>
  <c r="M18" i="1"/>
  <c r="E20" i="1" l="1"/>
  <c r="D19" i="1"/>
  <c r="R19" i="1"/>
  <c r="F19" i="1"/>
  <c r="Q19" i="1"/>
  <c r="M19" i="1"/>
  <c r="G19" i="1"/>
  <c r="P19" i="1"/>
  <c r="S19" i="1"/>
  <c r="J19" i="1"/>
  <c r="I19" i="1"/>
  <c r="T19" i="1"/>
  <c r="O19" i="1"/>
  <c r="H19" i="1"/>
  <c r="L19" i="1"/>
  <c r="N19" i="1"/>
  <c r="K19" i="1"/>
  <c r="E21" i="1" l="1"/>
  <c r="D20" i="1"/>
  <c r="R20" i="1"/>
  <c r="L20" i="1"/>
  <c r="G20" i="1"/>
  <c r="F20" i="1"/>
  <c r="M20" i="1"/>
  <c r="S20" i="1"/>
  <c r="T20" i="1"/>
  <c r="I20" i="1"/>
  <c r="P20" i="1"/>
  <c r="N20" i="1"/>
  <c r="Q20" i="1"/>
  <c r="K20" i="1"/>
  <c r="H20" i="1"/>
  <c r="O20" i="1"/>
  <c r="J20" i="1"/>
  <c r="E22" i="1" l="1"/>
  <c r="D21" i="1"/>
  <c r="R21" i="1"/>
  <c r="O21" i="1"/>
  <c r="I21" i="1"/>
  <c r="N21" i="1"/>
  <c r="L21" i="1"/>
  <c r="H21" i="1"/>
  <c r="M21" i="1"/>
  <c r="S21" i="1"/>
  <c r="J21" i="1"/>
  <c r="K21" i="1"/>
  <c r="Q21" i="1"/>
  <c r="G21" i="1"/>
  <c r="T21" i="1"/>
  <c r="F21" i="1"/>
  <c r="P21" i="1"/>
  <c r="E23" i="1" l="1"/>
  <c r="D22" i="1"/>
  <c r="K22" i="1"/>
  <c r="R22" i="1"/>
  <c r="J22" i="1"/>
  <c r="I22" i="1"/>
  <c r="N22" i="1"/>
  <c r="L22" i="1"/>
  <c r="Q22" i="1"/>
  <c r="M22" i="1"/>
  <c r="P22" i="1"/>
  <c r="G22" i="1"/>
  <c r="O22" i="1"/>
  <c r="T22" i="1"/>
  <c r="S22" i="1"/>
  <c r="H22" i="1"/>
  <c r="F22" i="1"/>
  <c r="E24" i="1" l="1"/>
  <c r="D23" i="1"/>
  <c r="F23" i="1"/>
  <c r="N23" i="1"/>
  <c r="L23" i="1"/>
  <c r="K23" i="1"/>
  <c r="G23" i="1"/>
  <c r="R23" i="1"/>
  <c r="M23" i="1"/>
  <c r="J23" i="1"/>
  <c r="P23" i="1"/>
  <c r="O23" i="1"/>
  <c r="S23" i="1"/>
  <c r="I23" i="1"/>
  <c r="T23" i="1"/>
  <c r="Q23" i="1"/>
  <c r="H23" i="1"/>
  <c r="E25" i="1" l="1"/>
  <c r="D24" i="1"/>
  <c r="I24" i="1"/>
  <c r="H24" i="1"/>
  <c r="N24" i="1"/>
  <c r="K24" i="1"/>
  <c r="J24" i="1"/>
  <c r="G24" i="1"/>
  <c r="T24" i="1"/>
  <c r="Q24" i="1"/>
  <c r="S24" i="1"/>
  <c r="R24" i="1"/>
  <c r="O24" i="1"/>
  <c r="F24" i="1"/>
  <c r="L24" i="1"/>
  <c r="M24" i="1"/>
  <c r="P24" i="1"/>
  <c r="E26" i="1" l="1"/>
  <c r="D25" i="1"/>
  <c r="T25" i="1"/>
  <c r="L25" i="1"/>
  <c r="I25" i="1"/>
  <c r="S25" i="1"/>
  <c r="P25" i="1"/>
  <c r="M25" i="1"/>
  <c r="J25" i="1"/>
  <c r="F25" i="1"/>
  <c r="Q25" i="1"/>
  <c r="G25" i="1"/>
  <c r="H25" i="1"/>
  <c r="N25" i="1"/>
  <c r="K25" i="1"/>
  <c r="R25" i="1"/>
  <c r="O25" i="1"/>
  <c r="E27" i="1" l="1"/>
  <c r="D26" i="1"/>
  <c r="P26" i="1"/>
  <c r="S26" i="1"/>
  <c r="L26" i="1"/>
  <c r="G26" i="1"/>
  <c r="M26" i="1"/>
  <c r="H26" i="1"/>
  <c r="I26" i="1"/>
  <c r="R26" i="1"/>
  <c r="N26" i="1"/>
  <c r="O26" i="1"/>
  <c r="K26" i="1"/>
  <c r="T26" i="1"/>
  <c r="F26" i="1"/>
  <c r="J26" i="1"/>
  <c r="Q26" i="1"/>
  <c r="E28" i="1" l="1"/>
  <c r="D27" i="1"/>
  <c r="P27" i="1"/>
  <c r="K27" i="1"/>
  <c r="M27" i="1"/>
  <c r="S27" i="1"/>
  <c r="H27" i="1"/>
  <c r="L27" i="1"/>
  <c r="O27" i="1"/>
  <c r="G27" i="1"/>
  <c r="R27" i="1"/>
  <c r="F27" i="1"/>
  <c r="T27" i="1"/>
  <c r="Q27" i="1"/>
  <c r="J27" i="1"/>
  <c r="I27" i="1"/>
  <c r="N27" i="1"/>
  <c r="E29" i="1" l="1"/>
  <c r="D28" i="1"/>
  <c r="S28" i="1"/>
  <c r="F28" i="1"/>
  <c r="P28" i="1"/>
  <c r="M28" i="1"/>
  <c r="Q28" i="1"/>
  <c r="G28" i="1"/>
  <c r="K28" i="1"/>
  <c r="L28" i="1"/>
  <c r="O28" i="1"/>
  <c r="R28" i="1"/>
  <c r="I28" i="1"/>
  <c r="T28" i="1"/>
  <c r="N28" i="1"/>
  <c r="H28" i="1"/>
  <c r="J28" i="1"/>
  <c r="D29" i="1" l="1"/>
  <c r="E30" i="1"/>
  <c r="K29" i="1"/>
  <c r="H29" i="1"/>
  <c r="Q29" i="1"/>
  <c r="G29" i="1"/>
  <c r="I29" i="1"/>
  <c r="P29" i="1"/>
  <c r="T29" i="1"/>
  <c r="R29" i="1"/>
  <c r="M29" i="1"/>
  <c r="N29" i="1"/>
  <c r="S29" i="1"/>
  <c r="J29" i="1"/>
  <c r="F29" i="1"/>
  <c r="L29" i="1"/>
  <c r="O29" i="1"/>
  <c r="D30" i="1" l="1"/>
  <c r="E31" i="1"/>
  <c r="J30" i="1"/>
  <c r="N30" i="1"/>
  <c r="O30" i="1"/>
  <c r="H30" i="1"/>
  <c r="K30" i="1"/>
  <c r="R30" i="1"/>
  <c r="L30" i="1"/>
  <c r="I30" i="1"/>
  <c r="P30" i="1"/>
  <c r="T30" i="1"/>
  <c r="G30" i="1"/>
  <c r="F30" i="1"/>
  <c r="M30" i="1"/>
  <c r="S30" i="1"/>
  <c r="Q30" i="1"/>
  <c r="E32" i="1" l="1"/>
  <c r="D31" i="1"/>
  <c r="T31" i="1"/>
  <c r="L31" i="1"/>
  <c r="G31" i="1"/>
  <c r="Q31" i="1"/>
  <c r="S31" i="1"/>
  <c r="R31" i="1"/>
  <c r="F31" i="1"/>
  <c r="K31" i="1"/>
  <c r="I31" i="1"/>
  <c r="M31" i="1"/>
  <c r="J31" i="1"/>
  <c r="P31" i="1"/>
  <c r="H31" i="1"/>
  <c r="O31" i="1"/>
  <c r="N31" i="1"/>
  <c r="D32" i="1" l="1"/>
  <c r="E33" i="1"/>
  <c r="N32" i="1"/>
  <c r="F32" i="1"/>
  <c r="K32" i="1"/>
  <c r="J32" i="1"/>
  <c r="G32" i="1"/>
  <c r="O32" i="1"/>
  <c r="P32" i="1"/>
  <c r="Q32" i="1"/>
  <c r="T32" i="1"/>
  <c r="M32" i="1"/>
  <c r="R32" i="1"/>
  <c r="I32" i="1"/>
  <c r="H32" i="1"/>
  <c r="L32" i="1"/>
  <c r="S32" i="1"/>
  <c r="D33" i="1" l="1"/>
  <c r="E34" i="1"/>
  <c r="J33" i="1"/>
  <c r="S33" i="1"/>
  <c r="H33" i="1"/>
  <c r="M33" i="1"/>
  <c r="K33" i="1"/>
  <c r="L33" i="1"/>
  <c r="Q33" i="1"/>
  <c r="T33" i="1"/>
  <c r="F33" i="1"/>
  <c r="I33" i="1"/>
  <c r="R33" i="1"/>
  <c r="G33" i="1"/>
  <c r="P33" i="1"/>
  <c r="N33" i="1"/>
  <c r="O33" i="1"/>
  <c r="E35" i="1" l="1"/>
  <c r="D34" i="1"/>
  <c r="O34" i="1"/>
  <c r="K34" i="1"/>
  <c r="R34" i="1"/>
  <c r="I34" i="1"/>
  <c r="T34" i="1"/>
  <c r="F34" i="1"/>
  <c r="J34" i="1"/>
  <c r="L34" i="1"/>
  <c r="M34" i="1"/>
  <c r="H34" i="1"/>
  <c r="N34" i="1"/>
  <c r="Q34" i="1"/>
  <c r="G34" i="1"/>
  <c r="S34" i="1"/>
  <c r="P34" i="1"/>
  <c r="D35" i="1" l="1"/>
  <c r="E36" i="1"/>
  <c r="I35" i="1"/>
  <c r="H35" i="1"/>
  <c r="S35" i="1"/>
  <c r="F35" i="1"/>
  <c r="G35" i="1"/>
  <c r="J35" i="1"/>
  <c r="P35" i="1"/>
  <c r="L35" i="1"/>
  <c r="K35" i="1"/>
  <c r="N35" i="1"/>
  <c r="O35" i="1"/>
  <c r="T35" i="1"/>
  <c r="M35" i="1"/>
  <c r="R35" i="1"/>
  <c r="Q35" i="1"/>
  <c r="E37" i="1" l="1"/>
  <c r="D36" i="1"/>
  <c r="L36" i="1"/>
  <c r="S36" i="1"/>
  <c r="K36" i="1"/>
  <c r="H36" i="1"/>
  <c r="F36" i="1"/>
  <c r="T36" i="1"/>
  <c r="R36" i="1"/>
  <c r="O36" i="1"/>
  <c r="P36" i="1"/>
  <c r="G36" i="1"/>
  <c r="Q36" i="1"/>
  <c r="I36" i="1"/>
  <c r="N36" i="1"/>
  <c r="M36" i="1"/>
  <c r="J36" i="1"/>
  <c r="D37" i="1" l="1"/>
  <c r="E38" i="1"/>
  <c r="G37" i="1"/>
  <c r="Q37" i="1"/>
  <c r="R37" i="1"/>
  <c r="L37" i="1"/>
  <c r="F37" i="1"/>
  <c r="P37" i="1"/>
  <c r="K37" i="1"/>
  <c r="T37" i="1"/>
  <c r="M37" i="1"/>
  <c r="I37" i="1"/>
  <c r="S37" i="1"/>
  <c r="N37" i="1"/>
  <c r="O37" i="1"/>
  <c r="H37" i="1"/>
  <c r="J37" i="1"/>
  <c r="E39" i="1" l="1"/>
  <c r="D38" i="1"/>
  <c r="M38" i="1"/>
  <c r="F38" i="1"/>
  <c r="I38" i="1"/>
  <c r="R38" i="1"/>
  <c r="H38" i="1"/>
  <c r="K38" i="1"/>
  <c r="S38" i="1"/>
  <c r="O38" i="1"/>
  <c r="P38" i="1"/>
  <c r="T38" i="1"/>
  <c r="Q38" i="1"/>
  <c r="J38" i="1"/>
  <c r="L38" i="1"/>
  <c r="G38" i="1"/>
  <c r="N38" i="1"/>
  <c r="E40" i="1" l="1"/>
  <c r="D39" i="1"/>
  <c r="L39" i="1"/>
  <c r="H39" i="1"/>
  <c r="S39" i="1"/>
  <c r="N39" i="1"/>
  <c r="K39" i="1"/>
  <c r="G39" i="1"/>
  <c r="F39" i="1"/>
  <c r="J39" i="1"/>
  <c r="M39" i="1"/>
  <c r="T39" i="1"/>
  <c r="Q39" i="1"/>
  <c r="R39" i="1"/>
  <c r="P39" i="1"/>
  <c r="O39" i="1"/>
  <c r="I39" i="1"/>
  <c r="D40" i="1" l="1"/>
  <c r="E41" i="1"/>
  <c r="K40" i="1"/>
  <c r="J40" i="1"/>
  <c r="O40" i="1"/>
  <c r="F40" i="1"/>
  <c r="M40" i="1"/>
  <c r="L40" i="1"/>
  <c r="N40" i="1"/>
  <c r="P40" i="1"/>
  <c r="T40" i="1"/>
  <c r="I40" i="1"/>
  <c r="Q40" i="1"/>
  <c r="S40" i="1"/>
  <c r="R40" i="1"/>
  <c r="G40" i="1"/>
  <c r="H40" i="1"/>
  <c r="D41" i="1" l="1"/>
  <c r="E42" i="1"/>
  <c r="N41" i="1"/>
  <c r="G41" i="1"/>
  <c r="R41" i="1"/>
  <c r="L41" i="1"/>
  <c r="F41" i="1"/>
  <c r="P41" i="1"/>
  <c r="O41" i="1"/>
  <c r="K41" i="1"/>
  <c r="M41" i="1"/>
  <c r="T41" i="1"/>
  <c r="Q41" i="1"/>
  <c r="J41" i="1"/>
  <c r="I41" i="1"/>
  <c r="S41" i="1"/>
  <c r="H41" i="1"/>
  <c r="D42" i="1" l="1"/>
  <c r="F42" i="1"/>
  <c r="Q42" i="1"/>
  <c r="N42" i="1"/>
  <c r="J42" i="1"/>
  <c r="L42" i="1"/>
  <c r="S42" i="1"/>
  <c r="I42" i="1"/>
  <c r="G42" i="1"/>
  <c r="T42" i="1"/>
  <c r="O42" i="1"/>
  <c r="H42" i="1"/>
  <c r="P42" i="1"/>
  <c r="M42" i="1"/>
  <c r="R42" i="1"/>
  <c r="K42" i="1"/>
</calcChain>
</file>

<file path=xl/sharedStrings.xml><?xml version="1.0" encoding="utf-8"?>
<sst xmlns="http://schemas.openxmlformats.org/spreadsheetml/2006/main" count="29" uniqueCount="29">
  <si>
    <t>Composition</t>
  </si>
  <si>
    <t>enthalpy [kJ/kg]</t>
  </si>
  <si>
    <t>entropy [kJ/kgK]</t>
  </si>
  <si>
    <t>Mw (kg/kmol)</t>
  </si>
  <si>
    <t>Cp[kJ/kgK]</t>
  </si>
  <si>
    <t>Cv [kJ/kgK]</t>
  </si>
  <si>
    <t>viscosity[kg/m*sec]</t>
  </si>
  <si>
    <t>conductivity[W/m*K]</t>
  </si>
  <si>
    <t>phase fraction [-]</t>
  </si>
  <si>
    <t>internal energy [kJ/kgK]</t>
  </si>
  <si>
    <t>JT coeff[K/bar]</t>
  </si>
  <si>
    <t>speedof sound [m/s]</t>
  </si>
  <si>
    <t>Z compressbility [-]</t>
  </si>
  <si>
    <t>density [kg/m^3]</t>
  </si>
  <si>
    <t>molFraction [-]</t>
  </si>
  <si>
    <t>Temperature [C]</t>
  </si>
  <si>
    <t>Pressure [bara]</t>
  </si>
  <si>
    <t>mole fraction</t>
  </si>
  <si>
    <t>To recalculate:</t>
  </si>
  <si>
    <t>Ctrl+Alt+F9</t>
  </si>
  <si>
    <t>Phase (-1 total, 0 gas, 1 liquid)</t>
  </si>
  <si>
    <t>Component number (0 to numerOfComp-1)</t>
  </si>
  <si>
    <t>Flash (-2 multiphase Tpflash, -1 two-phase TPflash, 0 gas, 1 liquid)</t>
  </si>
  <si>
    <t>gibbs energy[kJ/kg]</t>
  </si>
  <si>
    <t>methane</t>
  </si>
  <si>
    <t>ethane</t>
  </si>
  <si>
    <t>propane</t>
  </si>
  <si>
    <t>i-butane</t>
  </si>
  <si>
    <t>n-butane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</si>
</sst>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10" Type="http://schemas.microsoft.com/office/2006/relationships/vbaProject" Target="vbaProject.bin"/><Relationship Id="rId4" Type="http://schemas.openxmlformats.org/officeDocument/2006/relationships/sharedStrings" Target="sharedStrings.xml"/><Relationship Id="rId9" Type="http://schemas.openxmlformats.org/officeDocument/2006/relationships/customXml" Target="../customXml/item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676275</xdr:colOff>
          <xdr:row>8</xdr:row>
          <xdr:rowOff>142875</xdr:rowOff>
        </xdr:from>
        <xdr:to>
          <xdr:col>1</xdr:col>
          <xdr:colOff>762000</xdr:colOff>
          <xdr:row>10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 Fluid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A62C6B-ED25-4AA9-B0D3-60C6A43822E0}">
  <sheetPr codeName="Sheet1"/>
  <dimension ref="A3:T42"/>
  <sheetViews>
    <sheetView tabSelected="1" workbookViewId="0">
      <selection activeCell="E10" sqref="E10"/>
    </sheetView>
  </sheetViews>
  <sheetFormatPr defaultRowHeight="15" x14ac:dyDescent="0.25"/>
  <cols>
    <col min="1" max="1" width="17.28515625" customWidth="1"/>
    <col min="2" max="3" width="16.7109375" customWidth="1"/>
    <col min="4" max="4" width="58.140625" customWidth="1"/>
    <col min="5" max="5" width="16.42578125" customWidth="1"/>
    <col min="6" max="6" width="20.85546875" customWidth="1"/>
    <col min="7" max="7" width="20.42578125" customWidth="1"/>
    <col min="8" max="8" width="16.28515625" bestFit="1" customWidth="1"/>
    <col min="9" max="9" width="19.85546875" customWidth="1"/>
    <col min="10" max="10" width="12" bestFit="1" customWidth="1"/>
    <col min="11" max="11" width="10.7109375" bestFit="1" customWidth="1"/>
    <col min="12" max="12" width="20.140625" bestFit="1" customWidth="1"/>
    <col min="13" max="13" width="17.42578125" customWidth="1"/>
    <col min="14" max="14" width="20.7109375" customWidth="1"/>
    <col min="15" max="15" width="14.140625" bestFit="1" customWidth="1"/>
    <col min="16" max="16" width="19.7109375" bestFit="1" customWidth="1"/>
    <col min="19" max="19" width="19.7109375" bestFit="1" customWidth="1"/>
  </cols>
  <sheetData>
    <row r="3" spans="1:20" x14ac:dyDescent="0.25">
      <c r="A3" s="1" t="s">
        <v>0</v>
      </c>
      <c r="B3" s="1" t="s">
        <v>17</v>
      </c>
      <c r="C3" s="1"/>
      <c r="D3" t="s">
        <v>18</v>
      </c>
    </row>
    <row r="4" spans="1:20" x14ac:dyDescent="0.25">
      <c r="A4" t="s">
        <v>24</v>
      </c>
      <c r="B4">
        <v>0.47878503509494308</v>
      </c>
      <c r="D4" t="s">
        <v>19</v>
      </c>
    </row>
    <row r="5" spans="1:20" x14ac:dyDescent="0.25">
      <c r="A5" t="s">
        <v>25</v>
      </c>
      <c r="B5">
        <v>1.0373675760390435E-2</v>
      </c>
    </row>
    <row r="6" spans="1:20" x14ac:dyDescent="0.25">
      <c r="A6" t="s">
        <v>26</v>
      </c>
      <c r="B6">
        <v>1.0373675760390435E-3</v>
      </c>
      <c r="D6" t="s">
        <v>22</v>
      </c>
      <c r="E6">
        <v>-2</v>
      </c>
    </row>
    <row r="7" spans="1:20" x14ac:dyDescent="0.25">
      <c r="A7" t="s">
        <v>27</v>
      </c>
      <c r="B7">
        <v>4.9019607843137272E-3</v>
      </c>
      <c r="D7" t="s">
        <v>20</v>
      </c>
      <c r="E7">
        <v>-1</v>
      </c>
    </row>
    <row r="8" spans="1:20" x14ac:dyDescent="0.25">
      <c r="A8" t="s">
        <v>28</v>
      </c>
      <c r="B8">
        <v>0.50490196078431371</v>
      </c>
      <c r="D8" t="s">
        <v>21</v>
      </c>
      <c r="E8">
        <v>0</v>
      </c>
    </row>
    <row r="13" spans="1:20" x14ac:dyDescent="0.25">
      <c r="D13" t="s">
        <v>15</v>
      </c>
      <c r="E13" t="s">
        <v>16</v>
      </c>
      <c r="F13" t="s">
        <v>1</v>
      </c>
      <c r="G13" t="s">
        <v>2</v>
      </c>
      <c r="H13" t="s">
        <v>3</v>
      </c>
      <c r="I13" t="s">
        <v>14</v>
      </c>
      <c r="J13" t="s">
        <v>6</v>
      </c>
      <c r="K13" t="s">
        <v>8</v>
      </c>
      <c r="L13" t="s">
        <v>9</v>
      </c>
      <c r="M13" t="s">
        <v>4</v>
      </c>
      <c r="N13" t="s">
        <v>5</v>
      </c>
      <c r="O13" t="s">
        <v>7</v>
      </c>
      <c r="P13" t="s">
        <v>13</v>
      </c>
      <c r="Q13" t="s">
        <v>12</v>
      </c>
      <c r="R13" t="s">
        <v>10</v>
      </c>
      <c r="S13" t="s">
        <v>11</v>
      </c>
      <c r="T13" t="s">
        <v>23</v>
      </c>
    </row>
    <row r="14" spans="1:20" x14ac:dyDescent="0.25">
      <c r="D14">
        <v>-55</v>
      </c>
      <c r="E14">
        <v>35</v>
      </c>
      <c r="F14">
        <f>enthalpy(D14,E14,compositionRange2(),$E$6,$E$7)</f>
        <v>-484.35765722804348</v>
      </c>
      <c r="G14">
        <f>entropy(D14, E14,compositionRange2(),$E$6,$E$7)</f>
        <v>-2.1809762147833918</v>
      </c>
      <c r="H14">
        <f>molecularWeight(D14, E14,compositionRange2(),$E$6,$E$7)</f>
        <v>37.670162879477033</v>
      </c>
      <c r="I14">
        <f>molFraction(D14, E14,compositionRange2(),$E$6,E$7,E$8)</f>
        <v>0.99215386295080155</v>
      </c>
      <c r="J14">
        <f>viscosity(D14, E14,compositionRange2(),$E$6,$E$7)</f>
        <v>1.6529096912132384E-4</v>
      </c>
      <c r="K14" t="e">
        <f>phaseFraction(D14, E14,compositionRange2(),$E$6,E$7)</f>
        <v>#VALUE!</v>
      </c>
      <c r="L14">
        <f>internalEnergy(D14, E14,compositionRange2(),$E$6,$E$7)</f>
        <v>-496.64959040254797</v>
      </c>
      <c r="M14">
        <f>Cp(D14, E14,compositionRange2(),$E$6,$E$7)</f>
        <v>2.3566708835037118</v>
      </c>
      <c r="N14">
        <f>Cv(D14, E14,compositionRange2(),$E$6,$E$7)</f>
        <v>1.6882004386356266</v>
      </c>
      <c r="O14">
        <f>conductivity(D14, E14,compositionRange2(),$E$6,$E$7)</f>
        <v>0.11018443219533854</v>
      </c>
      <c r="P14">
        <f>density(D14, E14,compositionRange2(),$E$6,$E$7)</f>
        <v>303.94803180311169</v>
      </c>
      <c r="Q14">
        <f>compressibilityFactor(D14, E14,compositionRange2(),$E$6,$E$7)</f>
        <v>0.25528677279718814</v>
      </c>
      <c r="R14">
        <f>JouleThomsonCoefficient(D14, E14,compositionRange2(),$E$6,0)</f>
        <v>0.8557289114176384</v>
      </c>
      <c r="S14">
        <f>speedOfSound(D14, E14,compositionRange2(),$E$6,0)</f>
        <v>351.29750832634539</v>
      </c>
      <c r="T14">
        <f>gibbsEnergy(D14, E14,compositionRange2(),$E$6,$E$7)</f>
        <v>-8.577695973046664</v>
      </c>
    </row>
    <row r="15" spans="1:20" x14ac:dyDescent="0.25">
      <c r="D15">
        <f>D14+5</f>
        <v>-50</v>
      </c>
      <c r="E15">
        <f>E14</f>
        <v>35</v>
      </c>
      <c r="F15">
        <f>enthalpy(D15,E15,compositionRange2(),$E$6,$E$7)</f>
        <v>-468.09286002176458</v>
      </c>
      <c r="G15">
        <f>entropy(D15, E15,compositionRange2(),$E$6,$E$7)</f>
        <v>-2.1072512278440079</v>
      </c>
      <c r="H15">
        <f>molecularWeight(D15, E15,compositionRange2(),$E$6,$E$7)</f>
        <v>37.670162879477033</v>
      </c>
      <c r="I15">
        <f>molFraction(D15, E15,compositionRange2(),$E$6,E$7,E$8)</f>
        <v>0.99021482129228433</v>
      </c>
      <c r="J15">
        <f>viscosity(D15, E15,compositionRange2(),$E$6,$E$7)</f>
        <v>1.5837094588035656E-4</v>
      </c>
      <c r="K15" t="e">
        <f>phaseFraction(D15, E15,compositionRange2(),$E$6,E$7)</f>
        <v>#VALUE!</v>
      </c>
      <c r="L15">
        <f>internalEnergy(D15, E15,compositionRange2(),$E$6,$E$7)</f>
        <v>-481.97949919908137</v>
      </c>
      <c r="M15">
        <f>Cp(D15, E15,compositionRange2(),$E$6,$E$7)</f>
        <v>2.356215601103969</v>
      </c>
      <c r="N15">
        <f>Cv(D15, E15,compositionRange2(),$E$6,$E$7)</f>
        <v>1.6929762665380859</v>
      </c>
      <c r="O15">
        <f>conductivity(D15, E15,compositionRange2(),$E$6,$E$7)</f>
        <v>0.10523791882220881</v>
      </c>
      <c r="P15">
        <f>density(D15, E15,compositionRange2(),$E$6,$E$7)</f>
        <v>268.99857943704268</v>
      </c>
      <c r="Q15">
        <f>compressibilityFactor(D15, E15,compositionRange2(),$E$6,$E$7)</f>
        <v>0.28194448245564813</v>
      </c>
      <c r="R15">
        <f>JouleThomsonCoefficient(D15, E15,compositionRange2(),$E$6,0)</f>
        <v>0.81894609140548758</v>
      </c>
      <c r="S15">
        <f>speedOfSound(D15, E15,compositionRange2(),$E$6,0)</f>
        <v>357.16908227674253</v>
      </c>
      <c r="T15">
        <f>gibbsEnergy(D15, E15,compositionRange2(),$E$6,$E$7)</f>
        <v>2.1402514716256835</v>
      </c>
    </row>
    <row r="16" spans="1:20" x14ac:dyDescent="0.25">
      <c r="D16">
        <f t="shared" ref="D16:D42" si="0">D15+5</f>
        <v>-45</v>
      </c>
      <c r="E16">
        <f t="shared" ref="E16:E27" si="1">E15</f>
        <v>35</v>
      </c>
      <c r="F16">
        <f>enthalpy(D16,E16,compositionRange2(),$E$6,$E$7)</f>
        <v>-452.66846077011121</v>
      </c>
      <c r="G16">
        <f>entropy(D16, E16,compositionRange2(),$E$6,$E$7)</f>
        <v>-2.0388874442492879</v>
      </c>
      <c r="H16">
        <f>molecularWeight(D16, E16,compositionRange2(),$E$6,$E$7)</f>
        <v>37.670162879477033</v>
      </c>
      <c r="I16">
        <f>molFraction(D16, E16,compositionRange2(),$E$6,E$7,E$8)</f>
        <v>0.98791376885267246</v>
      </c>
      <c r="J16">
        <f>viscosity(D16, E16,compositionRange2(),$E$6,$E$7)</f>
        <v>1.5143037921345041E-4</v>
      </c>
      <c r="K16" t="e">
        <f>phaseFraction(D16, E16,compositionRange2(),$E$6,E$7)</f>
        <v>#VALUE!</v>
      </c>
      <c r="L16">
        <f>internalEnergy(D16, E16,compositionRange2(),$E$6,$E$7)</f>
        <v>-467.98916433172963</v>
      </c>
      <c r="M16">
        <f>Cp(D16, E16,compositionRange2(),$E$6,$E$7)</f>
        <v>2.3587964011428069</v>
      </c>
      <c r="N16">
        <f>Cv(D16, E16,compositionRange2(),$E$6,$E$7)</f>
        <v>1.6992054919403465</v>
      </c>
      <c r="O16">
        <f>conductivity(D16, E16,compositionRange2(),$E$6,$E$7)</f>
        <v>0.10104010519006812</v>
      </c>
      <c r="P16">
        <f>density(D16, E16,compositionRange2(),$E$6,$E$7)</f>
        <v>243.75597943983627</v>
      </c>
      <c r="Q16">
        <f>compressibilityFactor(D16, E16,compositionRange2(),$E$6,$E$7)</f>
        <v>0.30424368769910543</v>
      </c>
      <c r="R16">
        <f>JouleThomsonCoefficient(D16, E16,compositionRange2(),$E$6,0)</f>
        <v>0.78596566016819747</v>
      </c>
      <c r="S16">
        <f>speedOfSound(D16, E16,compositionRange2(),$E$6,0)</f>
        <v>362.41987487965383</v>
      </c>
      <c r="T16">
        <f>gibbsEnergy(D16, E16,compositionRange2(),$E$6,$E$7)</f>
        <v>12.503709635363711</v>
      </c>
    </row>
    <row r="17" spans="4:20" x14ac:dyDescent="0.25">
      <c r="D17">
        <f t="shared" si="0"/>
        <v>-40</v>
      </c>
      <c r="E17">
        <f t="shared" si="1"/>
        <v>35</v>
      </c>
      <c r="F17">
        <f>enthalpy(D17,E17,compositionRange2(),$E$6,$E$7)</f>
        <v>-437.80491115842415</v>
      </c>
      <c r="G17">
        <f>entropy(D17, E17,compositionRange2(),$E$6,$E$7)</f>
        <v>-1.9744393692809283</v>
      </c>
      <c r="H17">
        <f>molecularWeight(D17, E17,compositionRange2(),$E$6,$E$7)</f>
        <v>37.670162879477033</v>
      </c>
      <c r="I17">
        <f>molFraction(D17, E17,compositionRange2(),$E$6,E$7,E$8)</f>
        <v>0.98519940020671559</v>
      </c>
      <c r="J17">
        <f>viscosity(D17, E17,compositionRange2(),$E$6,$E$7)</f>
        <v>1.445724997058033E-4</v>
      </c>
      <c r="K17" t="e">
        <f>phaseFraction(D17, E17,compositionRange2(),$E$6,E$7)</f>
        <v>#VALUE!</v>
      </c>
      <c r="L17">
        <f>internalEnergy(D17, E17,compositionRange2(),$E$6,$E$7)</f>
        <v>-454.44122615339973</v>
      </c>
      <c r="M17">
        <f>Cp(D17, E17,compositionRange2(),$E$6,$E$7)</f>
        <v>2.3640659615276651</v>
      </c>
      <c r="N17">
        <f>Cv(D17, E17,compositionRange2(),$E$6,$E$7)</f>
        <v>1.7065467889707227</v>
      </c>
      <c r="O17">
        <f>conductivity(D17, E17,compositionRange2(),$E$6,$E$7)</f>
        <v>9.7393524440269108E-2</v>
      </c>
      <c r="P17">
        <f>density(D17, E17,compositionRange2(),$E$6,$E$7)</f>
        <v>224.40272959522738</v>
      </c>
      <c r="Q17">
        <f>compressibilityFactor(D17, E17,compositionRange2(),$E$6,$E$7)</f>
        <v>0.32328462827424548</v>
      </c>
      <c r="R17">
        <f>JouleThomsonCoefficient(D17, E17,compositionRange2(),$E$6,0)</f>
        <v>0.75636283771355906</v>
      </c>
      <c r="S17">
        <f>speedOfSound(D17, E17,compositionRange2(),$E$6,0)</f>
        <v>367.05985792252017</v>
      </c>
      <c r="T17">
        <f>gibbsEnergy(D17, E17,compositionRange2(),$E$6,$E$7)</f>
        <v>22.535627789424211</v>
      </c>
    </row>
    <row r="18" spans="4:20" x14ac:dyDescent="0.25">
      <c r="D18">
        <f t="shared" si="0"/>
        <v>-35</v>
      </c>
      <c r="E18">
        <f t="shared" si="1"/>
        <v>35</v>
      </c>
      <c r="F18">
        <f>enthalpy(D18,E18,compositionRange2(),$E$6,$E$7)</f>
        <v>-423.30808459490311</v>
      </c>
      <c r="G18">
        <f>entropy(D18, E18,compositionRange2(),$E$6,$E$7)</f>
        <v>-1.9129164318154308</v>
      </c>
      <c r="H18">
        <f>molecularWeight(D18, E18,compositionRange2(),$E$6,$E$7)</f>
        <v>37.670162879477033</v>
      </c>
      <c r="I18">
        <f>molFraction(D18, E18,compositionRange2(),$E$6,E$7,E$8)</f>
        <v>0.98201589986842353</v>
      </c>
      <c r="J18">
        <f>viscosity(D18, E18,compositionRange2(),$E$6,$E$7)</f>
        <v>1.3786421168709257E-4</v>
      </c>
      <c r="K18" t="e">
        <f>phaseFraction(D18, E18,compositionRange2(),$E$6,E$7)</f>
        <v>#VALUE!</v>
      </c>
      <c r="L18">
        <f>internalEnergy(D18, E18,compositionRange2(),$E$6,$E$7)</f>
        <v>-441.17087129849637</v>
      </c>
      <c r="M18">
        <f>Cp(D18, E18,compositionRange2(),$E$6,$E$7)</f>
        <v>2.3716975315581941</v>
      </c>
      <c r="N18">
        <f>Cv(D18, E18,compositionRange2(),$E$6,$E$7)</f>
        <v>1.7147615852685869</v>
      </c>
      <c r="O18">
        <f>conductivity(D18, E18,compositionRange2(),$E$6,$E$7)</f>
        <v>9.4163766082974887E-2</v>
      </c>
      <c r="P18">
        <f>density(D18, E18,compositionRange2(),$E$6,$E$7)</f>
        <v>208.90798147578138</v>
      </c>
      <c r="Q18">
        <f>compressibilityFactor(D18, E18,compositionRange2(),$E$6,$E$7)</f>
        <v>0.33983019648709506</v>
      </c>
      <c r="R18">
        <f>JouleThomsonCoefficient(D18, E18,compositionRange2(),$E$6,0)</f>
        <v>0.72980907792755567</v>
      </c>
      <c r="S18">
        <f>speedOfSound(D18, E18,compositionRange2(),$E$6,0)</f>
        <v>371.08769484518854</v>
      </c>
      <c r="T18">
        <f>gibbsEnergy(D18, E18,compositionRange2(),$E$6,$E$7)</f>
        <v>32.252963641941747</v>
      </c>
    </row>
    <row r="19" spans="4:20" x14ac:dyDescent="0.25">
      <c r="D19">
        <f t="shared" si="0"/>
        <v>-30</v>
      </c>
      <c r="E19">
        <f t="shared" si="1"/>
        <v>35</v>
      </c>
      <c r="F19">
        <f>enthalpy(D19,E19,compositionRange2(),$E$6,$E$7)</f>
        <v>-409.03560427255394</v>
      </c>
      <c r="G19">
        <f>entropy(D19, E19,compositionRange2(),$E$6,$E$7)</f>
        <v>-1.8536050699622157</v>
      </c>
      <c r="H19">
        <f>molecularWeight(D19, E19,compositionRange2(),$E$6,$E$7)</f>
        <v>37.670162879477033</v>
      </c>
      <c r="I19">
        <f>molFraction(D19, E19,compositionRange2(),$E$6,E$7,E$8)</f>
        <v>0.97830277841911695</v>
      </c>
      <c r="J19">
        <f>viscosity(D19, E19,compositionRange2(),$E$6,$E$7)</f>
        <v>1.313468485315401E-4</v>
      </c>
      <c r="K19" t="e">
        <f>phaseFraction(D19, E19,compositionRange2(),$E$6,E$7)</f>
        <v>#VALUE!</v>
      </c>
      <c r="L19">
        <f>internalEnergy(D19, E19,compositionRange2(),$E$6,$E$7)</f>
        <v>-428.05723738265726</v>
      </c>
      <c r="M19">
        <f>Cp(D19, E19,compositionRange2(),$E$6,$E$7)</f>
        <v>2.3814037278355737</v>
      </c>
      <c r="N19">
        <f>Cv(D19, E19,compositionRange2(),$E$6,$E$7)</f>
        <v>1.723674165767956</v>
      </c>
      <c r="O19">
        <f>conductivity(D19, E19,compositionRange2(),$E$6,$E$7)</f>
        <v>9.1255525883274333E-2</v>
      </c>
      <c r="P19">
        <f>density(D19, E19,compositionRange2(),$E$6,$E$7)</f>
        <v>196.08529821346093</v>
      </c>
      <c r="Q19">
        <f>compressibilityFactor(D19, E19,compositionRange2(),$E$6,$E$7)</f>
        <v>0.35443521667950439</v>
      </c>
      <c r="R19">
        <f>JouleThomsonCoefficient(D19, E19,compositionRange2(),$E$6,0)</f>
        <v>0.7060477345992785</v>
      </c>
      <c r="S19">
        <f>speedOfSound(D19, E19,compositionRange2(),$E$6,0)</f>
        <v>374.49389293630492</v>
      </c>
      <c r="T19">
        <f>gibbsEnergy(D19, E19,compositionRange2(),$E$6,$E$7)</f>
        <v>41.668468488758734</v>
      </c>
    </row>
    <row r="20" spans="4:20" x14ac:dyDescent="0.25">
      <c r="D20">
        <f t="shared" si="0"/>
        <v>-25</v>
      </c>
      <c r="E20">
        <f t="shared" si="1"/>
        <v>35</v>
      </c>
      <c r="F20">
        <f>enthalpy(D20,E20,compositionRange2(),$E$6,$E$7)</f>
        <v>-394.87781385004968</v>
      </c>
      <c r="G20">
        <f>entropy(D20, E20,compositionRange2(),$E$6,$E$7)</f>
        <v>-1.7959686211781023</v>
      </c>
      <c r="H20">
        <f>molecularWeight(D20, E20,compositionRange2(),$E$6,$E$7)</f>
        <v>37.670162879477033</v>
      </c>
      <c r="I20">
        <f>molFraction(D20, E20,compositionRange2(),$E$6,E$7,E$8)</f>
        <v>0.97399477654321664</v>
      </c>
      <c r="J20">
        <f>viscosity(D20, E20,compositionRange2(),$E$6,$E$7)</f>
        <v>1.250437653208971E-4</v>
      </c>
      <c r="K20" t="e">
        <f>phaseFraction(D20, E20,compositionRange2(),$E$6,E$7)</f>
        <v>#VALUE!</v>
      </c>
      <c r="L20">
        <f>internalEnergy(D20, E20,compositionRange2(),$E$6,$E$7)</f>
        <v>-415.00725215532617</v>
      </c>
      <c r="M20">
        <f>Cp(D20, E20,compositionRange2(),$E$6,$E$7)</f>
        <v>2.392937089979573</v>
      </c>
      <c r="N20">
        <f>Cv(D20, E20,compositionRange2(),$E$6,$E$7)</f>
        <v>1.7331490760589048</v>
      </c>
      <c r="O20">
        <f>conductivity(D20, E20,compositionRange2(),$E$6,$E$7)</f>
        <v>8.8598919415448396E-2</v>
      </c>
      <c r="P20">
        <f>density(D20, E20,compositionRange2(),$E$6,$E$7)</f>
        <v>185.19119054711726</v>
      </c>
      <c r="Q20">
        <f>compressibilityFactor(D20, E20,compositionRange2(),$E$6,$E$7)</f>
        <v>0.36751977920072804</v>
      </c>
      <c r="R20">
        <f>JouleThomsonCoefficient(D20, E20,compositionRange2(),$E$6,0)</f>
        <v>0.68487705960331369</v>
      </c>
      <c r="S20">
        <f>speedOfSound(D20, E20,compositionRange2(),$E$6,0)</f>
        <v>377.26332198794313</v>
      </c>
      <c r="T20">
        <f>gibbsEnergy(D20, E20,compositionRange2(),$E$6,$E$7)</f>
        <v>50.79179949529631</v>
      </c>
    </row>
    <row r="21" spans="4:20" x14ac:dyDescent="0.25">
      <c r="D21">
        <f t="shared" si="0"/>
        <v>-20</v>
      </c>
      <c r="E21">
        <f t="shared" si="1"/>
        <v>35</v>
      </c>
      <c r="F21">
        <f>enthalpy(D21,E21,compositionRange2(),$E$6,$E$7)</f>
        <v>-380.74634655192546</v>
      </c>
      <c r="G21">
        <f>entropy(D21, E21,compositionRange2(),$E$6,$E$7)</f>
        <v>-1.739587553675686</v>
      </c>
      <c r="H21">
        <f>molecularWeight(D21, E21,compositionRange2(),$E$6,$E$7)</f>
        <v>37.670162879477033</v>
      </c>
      <c r="I21">
        <f>molFraction(D21, E21,compositionRange2(),$E$6,E$7,E$8)</f>
        <v>0.96902183328135416</v>
      </c>
      <c r="J21">
        <f>viscosity(D21, E21,compositionRange2(),$E$6,$E$7)</f>
        <v>1.1896571724886507E-4</v>
      </c>
      <c r="K21" t="e">
        <f>phaseFraction(D21, E21,compositionRange2(),$E$6,E$7)</f>
        <v>#VALUE!</v>
      </c>
      <c r="L21">
        <f>internalEnergy(D21, E21,compositionRange2(),$E$6,$E$7)</f>
        <v>-401.94592909312178</v>
      </c>
      <c r="M21">
        <f>Cp(D21, E21,compositionRange2(),$E$6,$E$7)</f>
        <v>2.4060848620022668</v>
      </c>
      <c r="N21">
        <f>Cv(D21, E21,compositionRange2(),$E$6,$E$7)</f>
        <v>1.7430775404847867</v>
      </c>
      <c r="O21">
        <f>conductivity(D21, E21,compositionRange2(),$E$6,$E$7)</f>
        <v>8.6141225600051954E-2</v>
      </c>
      <c r="P21">
        <f>density(D21, E21,compositionRange2(),$E$6,$E$7)</f>
        <v>175.73350480070062</v>
      </c>
      <c r="Q21">
        <f>compressibilityFactor(D21, E21,compositionRange2(),$E$6,$E$7)</f>
        <v>0.37941344557045631</v>
      </c>
      <c r="R21">
        <f>JouleThomsonCoefficient(D21, E21,compositionRange2(),$E$6,0)</f>
        <v>0.66613805867214371</v>
      </c>
      <c r="S21">
        <f>speedOfSound(D21, E21,compositionRange2(),$E$6,0)</f>
        <v>379.37737736351102</v>
      </c>
      <c r="T21">
        <f>gibbsEnergy(D21, E21,compositionRange2(),$E$6,$E$7)</f>
        <v>59.630242661074412</v>
      </c>
    </row>
    <row r="22" spans="4:20" x14ac:dyDescent="0.25">
      <c r="D22">
        <f t="shared" si="0"/>
        <v>-15</v>
      </c>
      <c r="E22">
        <f t="shared" si="1"/>
        <v>35</v>
      </c>
      <c r="F22">
        <f>enthalpy(D22,E22,compositionRange2(),$E$6,$E$7)</f>
        <v>-366.56688315086689</v>
      </c>
      <c r="G22">
        <f>entropy(D22, E22,compositionRange2(),$E$6,$E$7)</f>
        <v>-1.6841219482773662</v>
      </c>
      <c r="H22">
        <f>molecularWeight(D22, E22,compositionRange2(),$E$6,$E$7)</f>
        <v>37.670162879477033</v>
      </c>
      <c r="I22">
        <f>molFraction(D22, E22,compositionRange2(),$E$6,E$7,E$8)</f>
        <v>0.9633091189252444</v>
      </c>
      <c r="J22">
        <f>viscosity(D22, E22,compositionRange2(),$E$6,$E$7)</f>
        <v>1.1311467697724933E-4</v>
      </c>
      <c r="K22" t="e">
        <f>phaseFraction(D22, E22,compositionRange2(),$E$6,E$7)</f>
        <v>#VALUE!</v>
      </c>
      <c r="L22">
        <f>internalEnergy(D22, E22,compositionRange2(),$E$6,$E$7)</f>
        <v>-388.81022323079111</v>
      </c>
      <c r="M22">
        <f>Cp(D22, E22,compositionRange2(),$E$6,$E$7)</f>
        <v>2.4206624204211167</v>
      </c>
      <c r="N22">
        <f>Cv(D22, E22,compositionRange2(),$E$6,$E$7)</f>
        <v>1.7533688731685713</v>
      </c>
      <c r="O22">
        <f>conductivity(D22, E22,compositionRange2(),$E$6,$E$7)</f>
        <v>8.3841679457594534E-2</v>
      </c>
      <c r="P22">
        <f>density(D22, E22,compositionRange2(),$E$6,$E$7)</f>
        <v>167.37173548509267</v>
      </c>
      <c r="Q22">
        <f>compressibilityFactor(D22, E22,compositionRange2(),$E$6,$E$7)</f>
        <v>0.39038328342425632</v>
      </c>
      <c r="R22">
        <f>JouleThomsonCoefficient(D22, E22,compositionRange2(),$E$6,0)</f>
        <v>0.64970566426937104</v>
      </c>
      <c r="S22">
        <f>speedOfSound(D22, E22,compositionRange2(),$E$6,0)</f>
        <v>380.81593523215815</v>
      </c>
      <c r="T22">
        <f>gibbsEnergy(D22, E22,compositionRange2(),$E$6,$E$7)</f>
        <v>68.189197796935204</v>
      </c>
    </row>
    <row r="23" spans="4:20" x14ac:dyDescent="0.25">
      <c r="D23">
        <f t="shared" si="0"/>
        <v>-10</v>
      </c>
      <c r="E23">
        <f t="shared" si="1"/>
        <v>35</v>
      </c>
      <c r="F23">
        <f>enthalpy(D23,E23,compositionRange2(),$E$6,$E$7)</f>
        <v>-352.27432813957461</v>
      </c>
      <c r="G23">
        <f>entropy(D23, E23,compositionRange2(),$E$6,$E$7)</f>
        <v>-1.6292868670756686</v>
      </c>
      <c r="H23">
        <f>molecularWeight(D23, E23,compositionRange2(),$E$6,$E$7)</f>
        <v>37.670162879477033</v>
      </c>
      <c r="I23">
        <f>molFraction(D23, E23,compositionRange2(),$E$6,E$7,E$8)</f>
        <v>0.95677713472725467</v>
      </c>
      <c r="J23">
        <f>viscosity(D23, E23,compositionRange2(),$E$6,$E$7)</f>
        <v>1.0748654304116815E-4</v>
      </c>
      <c r="K23" t="e">
        <f>phaseFraction(D23, E23,compositionRange2(),$E$6,E$7)</f>
        <v>#VALUE!</v>
      </c>
      <c r="L23">
        <f>internalEnergy(D23, E23,compositionRange2(),$E$6,$E$7)</f>
        <v>-375.54494205203684</v>
      </c>
      <c r="M23">
        <f>Cp(D23, E23,compositionRange2(),$E$6,$E$7)</f>
        <v>2.4365068358329336</v>
      </c>
      <c r="N23">
        <f>Cv(D23, E23,compositionRange2(),$E$6,$E$7)</f>
        <v>1.7639447893654359</v>
      </c>
      <c r="O23">
        <f>conductivity(D23, E23,compositionRange2(),$E$6,$E$7)</f>
        <v>8.1668061796538446E-2</v>
      </c>
      <c r="P23">
        <f>density(D23, E23,compositionRange2(),$E$6,$E$7)</f>
        <v>159.8615190137327</v>
      </c>
      <c r="Q23">
        <f>compressibilityFactor(D23, E23,compositionRange2(),$E$6,$E$7)</f>
        <v>0.40065245333947413</v>
      </c>
      <c r="R23">
        <f>JouleThomsonCoefficient(D23, E23,compositionRange2(),$E$6,0)</f>
        <v>0.63548223923985681</v>
      </c>
      <c r="S23">
        <f>speedOfSound(D23, E23,compositionRange2(),$E$6,0)</f>
        <v>381.55916822025256</v>
      </c>
      <c r="T23">
        <f>gibbsEnergy(D23, E23,compositionRange2(),$E$6,$E$7)</f>
        <v>76.472510931387461</v>
      </c>
    </row>
    <row r="24" spans="4:20" x14ac:dyDescent="0.25">
      <c r="D24">
        <f t="shared" si="0"/>
        <v>-5</v>
      </c>
      <c r="E24">
        <f t="shared" si="1"/>
        <v>35</v>
      </c>
      <c r="F24">
        <f>enthalpy(D24,E24,compositionRange2(),$E$6,$E$7)</f>
        <v>-337.80942732089414</v>
      </c>
      <c r="G24">
        <f>entropy(D24, E24,compositionRange2(),$E$6,$E$7)</f>
        <v>-1.5748354720869506</v>
      </c>
      <c r="H24">
        <f>molecularWeight(D24, E24,compositionRange2(),$E$6,$E$7)</f>
        <v>37.670162879477033</v>
      </c>
      <c r="I24">
        <f>molFraction(D24, E24,compositionRange2(),$E$6,E$7,E$8)</f>
        <v>0.94934188285940246</v>
      </c>
      <c r="J24">
        <f>viscosity(D24, E24,compositionRange2(),$E$6,$E$7)</f>
        <v>1.020730546352736E-4</v>
      </c>
      <c r="K24" t="e">
        <f>phaseFraction(D24, E24,compositionRange2(),$E$6,E$7)</f>
        <v>#VALUE!</v>
      </c>
      <c r="L24">
        <f>internalEnergy(D24, E24,compositionRange2(),$E$6,$E$7)</f>
        <v>-362.09988073728493</v>
      </c>
      <c r="M24">
        <f>Cp(D24, E24,compositionRange2(),$E$6,$E$7)</f>
        <v>2.4534709489749407</v>
      </c>
      <c r="N24">
        <f>Cv(D24, E24,compositionRange2(),$E$6,$E$7)</f>
        <v>1.7747354625838057</v>
      </c>
      <c r="O24">
        <f>conductivity(D24, E24,compositionRange2(),$E$6,$E$7)</f>
        <v>7.9594390198714546E-2</v>
      </c>
      <c r="P24">
        <f>density(D24, E24,compositionRange2(),$E$6,$E$7)</f>
        <v>153.02198278849301</v>
      </c>
      <c r="Q24">
        <f>compressibilityFactor(D24, E24,compositionRange2(),$E$6,$E$7)</f>
        <v>0.41041304872819662</v>
      </c>
      <c r="R24">
        <f>JouleThomsonCoefficient(D24, E24,compositionRange2(),$E$6,0)</f>
        <v>0.62339276496281237</v>
      </c>
      <c r="S24">
        <f>speedOfSound(D24, E24,compositionRange2(),$E$6,0)</f>
        <v>381.5892375910733</v>
      </c>
      <c r="T24">
        <f>gibbsEnergy(D24, E24,compositionRange2(),$E$6,$E$7)</f>
        <v>84.482704519221627</v>
      </c>
    </row>
    <row r="25" spans="4:20" x14ac:dyDescent="0.25">
      <c r="D25">
        <f t="shared" si="0"/>
        <v>0</v>
      </c>
      <c r="E25">
        <f t="shared" si="1"/>
        <v>35</v>
      </c>
      <c r="F25">
        <f>enthalpy(D25,E25,compositionRange2(),$E$6,$E$7)</f>
        <v>-323.11625752241605</v>
      </c>
      <c r="G25">
        <f>entropy(D25, E25,compositionRange2(),$E$6,$E$7)</f>
        <v>-1.5205469290413811</v>
      </c>
      <c r="H25">
        <f>molecularWeight(D25, E25,compositionRange2(),$E$6,$E$7)</f>
        <v>37.670162879477033</v>
      </c>
      <c r="I25">
        <f>molFraction(D25, E25,compositionRange2(),$E$6,E$7,E$8)</f>
        <v>0.94091511168211117</v>
      </c>
      <c r="J25">
        <f>viscosity(D25, E25,compositionRange2(),$E$6,$E$7)</f>
        <v>9.6863134237012223E-5</v>
      </c>
      <c r="K25" t="e">
        <f>phaseFraction(D25, E25,compositionRange2(),$E$6,E$7)</f>
        <v>#VALUE!</v>
      </c>
      <c r="L25">
        <f>internalEnergy(D25, E25,compositionRange2(),$E$6,$E$7)</f>
        <v>-348.42769751006324</v>
      </c>
      <c r="M25">
        <f>Cp(D25, E25,compositionRange2(),$E$6,$E$7)</f>
        <v>2.471417920214297</v>
      </c>
      <c r="N25">
        <f>Cv(D25, E25,compositionRange2(),$E$6,$E$7)</f>
        <v>1.7856766564388944</v>
      </c>
      <c r="O25">
        <f>conductivity(D25, E25,compositionRange2(),$E$6,$E$7)</f>
        <v>7.759930649122572E-2</v>
      </c>
      <c r="P25">
        <f>density(D25, E25,compositionRange2(),$E$6,$E$7)</f>
        <v>146.71564724495269</v>
      </c>
      <c r="Q25">
        <f>compressibilityFactor(D25, E25,compositionRange2(),$E$6,$E$7)</f>
        <v>0.41983533564364472</v>
      </c>
      <c r="R25">
        <f>JouleThomsonCoefficient(D25, E25,compositionRange2(),$E$6,0)</f>
        <v>0.61338128325379926</v>
      </c>
      <c r="S25">
        <f>speedOfSound(D25, E25,compositionRange2(),$E$6,0)</f>
        <v>380.89184277333987</v>
      </c>
      <c r="T25">
        <f>gibbsEnergy(D25, E25,compositionRange2(),$E$6,$E$7)</f>
        <v>92.221136145237182</v>
      </c>
    </row>
    <row r="26" spans="4:20" x14ac:dyDescent="0.25">
      <c r="D26">
        <f t="shared" si="0"/>
        <v>5</v>
      </c>
      <c r="E26">
        <f t="shared" si="1"/>
        <v>35</v>
      </c>
      <c r="F26">
        <f>enthalpy(D26,E26,compositionRange2(),$E$6,$E$7)</f>
        <v>-308.14023784477877</v>
      </c>
      <c r="G26">
        <f>entropy(D26, E26,compositionRange2(),$E$6,$E$7)</f>
        <v>-1.4662173023649174</v>
      </c>
      <c r="H26">
        <f>molecularWeight(D26, E26,compositionRange2(),$E$6,$E$7)</f>
        <v>37.670162879477033</v>
      </c>
      <c r="I26">
        <f>molFraction(D26, E26,compositionRange2(),$E$6,E$7,E$8)</f>
        <v>0.93140464373632526</v>
      </c>
      <c r="J26">
        <f>viscosity(D26, E26,compositionRange2(),$E$6,$E$7)</f>
        <v>9.1843814340654894E-5</v>
      </c>
      <c r="K26" t="e">
        <f>phaseFraction(D26, E26,compositionRange2(),$E$6,E$7)</f>
        <v>#VALUE!</v>
      </c>
      <c r="L26">
        <f>internalEnergy(D26, E26,compositionRange2(),$E$6,$E$7)</f>
        <v>-334.4822309080883</v>
      </c>
      <c r="M26">
        <f>Cp(D26, E26,compositionRange2(),$E$6,$E$7)</f>
        <v>2.4902160472098722</v>
      </c>
      <c r="N26">
        <f>Cv(D26, E26,compositionRange2(),$E$6,$E$7)</f>
        <v>1.7967075213216741</v>
      </c>
      <c r="O26">
        <f>conductivity(D26, E26,compositionRange2(),$E$6,$E$7)</f>
        <v>7.5664915320577342E-2</v>
      </c>
      <c r="P26">
        <f>density(D26, E26,compositionRange2(),$E$6,$E$7)</f>
        <v>140.83557399727044</v>
      </c>
      <c r="Q26">
        <f>compressibilityFactor(D26, E26,compositionRange2(),$E$6,$E$7)</f>
        <v>0.4290746993022751</v>
      </c>
      <c r="R26">
        <f>JouleThomsonCoefficient(D26, E26,compositionRange2(),$E$6,0)</f>
        <v>0.60540830238221688</v>
      </c>
      <c r="S26">
        <f>speedOfSound(D26, E26,compositionRange2(),$E$6,0)</f>
        <v>379.45758616046709</v>
      </c>
      <c r="T26">
        <f>gibbsEnergy(D26, E26,compositionRange2(),$E$6,$E$7)</f>
        <v>99.688104808022999</v>
      </c>
    </row>
    <row r="27" spans="4:20" x14ac:dyDescent="0.25">
      <c r="D27">
        <f t="shared" si="0"/>
        <v>10</v>
      </c>
      <c r="E27">
        <f t="shared" si="1"/>
        <v>35</v>
      </c>
      <c r="F27">
        <f>enthalpy(D27,E27,compositionRange2(),$E$6,$E$7)</f>
        <v>-292.82643274097512</v>
      </c>
      <c r="G27">
        <f>entropy(D27, E27,compositionRange2(),$E$6,$E$7)</f>
        <v>-1.4116523024231939</v>
      </c>
      <c r="H27">
        <f>molecularWeight(D27, E27,compositionRange2(),$E$6,$E$7)</f>
        <v>37.670162879477033</v>
      </c>
      <c r="I27">
        <f>molFraction(D27, E27,compositionRange2(),$E$6,E$7,E$8)</f>
        <v>0.92071479705987036</v>
      </c>
      <c r="J27">
        <f>viscosity(D27, E27,compositionRange2(),$E$6,$E$7)</f>
        <v>8.7000858731690195E-5</v>
      </c>
      <c r="K27" t="e">
        <f>phaseFraction(D27, E27,compositionRange2(),$E$6,E$7)</f>
        <v>#VALUE!</v>
      </c>
      <c r="L27">
        <f>internalEnergy(D27, E27,compositionRange2(),$E$6,$E$7)</f>
        <v>-320.21706374024143</v>
      </c>
      <c r="M27">
        <f>Cp(D27, E27,compositionRange2(),$E$6,$E$7)</f>
        <v>2.5097335724140053</v>
      </c>
      <c r="N27">
        <f>Cv(D27, E27,compositionRange2(),$E$6,$E$7)</f>
        <v>1.8077687918740617</v>
      </c>
      <c r="O27">
        <f>conductivity(D27, E27,compositionRange2(),$E$6,$E$7)</f>
        <v>7.3775919451403174E-2</v>
      </c>
      <c r="P27">
        <f>density(D27, E27,compositionRange2(),$E$6,$E$7)</f>
        <v>135.29687605505836</v>
      </c>
      <c r="Q27">
        <f>compressibilityFactor(D27, E27,compositionRange2(),$E$6,$E$7)</f>
        <v>0.43827713224916309</v>
      </c>
      <c r="R27">
        <f>JouleThomsonCoefficient(D27, E27,compositionRange2(),$E$6,0)</f>
        <v>0.59944897326666524</v>
      </c>
      <c r="S27">
        <f>speedOfSound(D27, E27,compositionRange2(),$E$6,0)</f>
        <v>377.28309897038048</v>
      </c>
      <c r="T27">
        <f>gibbsEnergy(D27, E27,compositionRange2(),$E$6,$E$7)</f>
        <v>106.88291669015219</v>
      </c>
    </row>
    <row r="28" spans="4:20" x14ac:dyDescent="0.25">
      <c r="D28">
        <f t="shared" si="0"/>
        <v>15</v>
      </c>
      <c r="E28">
        <f t="shared" ref="E28:E42" si="2">E27</f>
        <v>35</v>
      </c>
      <c r="F28">
        <f>enthalpy(D28,E28,compositionRange2(),$E$6,$E$7)</f>
        <v>-277.11798433763369</v>
      </c>
      <c r="G28">
        <f>entropy(D28, E28,compositionRange2(),$E$6,$E$7)</f>
        <v>-1.3566611208990775</v>
      </c>
      <c r="H28">
        <f>molecularWeight(D28, E28,compositionRange2(),$E$6,$E$7)</f>
        <v>37.670162879477033</v>
      </c>
      <c r="I28">
        <f>molFraction(D28, E28,compositionRange2(),$E$6,E$7,E$8)</f>
        <v>0.90874691440410882</v>
      </c>
      <c r="J28">
        <f>viscosity(D28, E28,compositionRange2(),$E$6,$E$7)</f>
        <v>8.2319156012997737E-5</v>
      </c>
      <c r="K28" t="e">
        <f>phaseFraction(D28, E28,compositionRange2(),$E$6,E$7)</f>
        <v>#VALUE!</v>
      </c>
      <c r="L28">
        <f>internalEnergy(D28, E28,compositionRange2(),$E$6,$E$7)</f>
        <v>-305.58419568708212</v>
      </c>
      <c r="M28">
        <f>Cp(D28, E28,compositionRange2(),$E$6,$E$7)</f>
        <v>2.5298331503527707</v>
      </c>
      <c r="N28">
        <f>Cv(D28, E28,compositionRange2(),$E$6,$E$7)</f>
        <v>1.8188012041269002</v>
      </c>
      <c r="O28">
        <f>conductivity(D28, E28,compositionRange2(),$E$6,$E$7)</f>
        <v>7.1918951127099506E-2</v>
      </c>
      <c r="P28">
        <f>density(D28, E28,compositionRange2(),$E$6,$E$7)</f>
        <v>130.03094992071922</v>
      </c>
      <c r="Q28">
        <f>compressibilityFactor(D28, E28,compositionRange2(),$E$6,$E$7)</f>
        <v>0.44758382726089285</v>
      </c>
      <c r="R28">
        <f>JouleThomsonCoefficient(D28, E28,compositionRange2(),$E$6,0)</f>
        <v>0.59549190944689134</v>
      </c>
      <c r="S28">
        <f>speedOfSound(D28, E28,compositionRange2(),$E$6,0)</f>
        <v>374.37187204158562</v>
      </c>
      <c r="T28">
        <f>gibbsEnergy(D28, E28,compositionRange2(),$E$6,$E$7)</f>
        <v>113.80391764943546</v>
      </c>
    </row>
    <row r="29" spans="4:20" x14ac:dyDescent="0.25">
      <c r="D29">
        <f t="shared" si="0"/>
        <v>20</v>
      </c>
      <c r="E29">
        <f t="shared" si="2"/>
        <v>35</v>
      </c>
      <c r="F29">
        <f>enthalpy(D29,E29,compositionRange2(),$E$6,$E$7)</f>
        <v>-260.9545468297872</v>
      </c>
      <c r="G29">
        <f>entropy(D29, E29,compositionRange2(),$E$6,$E$7)</f>
        <v>-1.3010508042339624</v>
      </c>
      <c r="H29">
        <f>molecularWeight(D29, E29,compositionRange2(),$E$6,$E$7)</f>
        <v>37.670162879477033</v>
      </c>
      <c r="I29">
        <f>molFraction(D29, E29,compositionRange2(),$E$6,E$7,E$8)</f>
        <v>0.89540001955612469</v>
      </c>
      <c r="J29">
        <f>viscosity(D29, E29,compositionRange2(),$E$6,$E$7)</f>
        <v>7.7782939290360465E-5</v>
      </c>
      <c r="K29" t="e">
        <f>phaseFraction(D29, E29,compositionRange2(),$E$6,E$7)</f>
        <v>#VALUE!</v>
      </c>
      <c r="L29">
        <f>internalEnergy(D29, E29,compositionRange2(),$E$6,$E$7)</f>
        <v>-290.53271672968282</v>
      </c>
      <c r="M29">
        <f>Cp(D29, E29,compositionRange2(),$E$6,$E$7)</f>
        <v>2.5503655810071812</v>
      </c>
      <c r="N29">
        <f>Cv(D29, E29,compositionRange2(),$E$6,$E$7)</f>
        <v>1.8297439973939629</v>
      </c>
      <c r="O29">
        <f>conductivity(D29, E29,compositionRange2(),$E$6,$E$7)</f>
        <v>7.0082031342333581E-2</v>
      </c>
      <c r="P29">
        <f>density(D29, E29,compositionRange2(),$E$6,$E$7)</f>
        <v>124.98145963120515</v>
      </c>
      <c r="Q29">
        <f>compressibilityFactor(D29, E29,compositionRange2(),$E$6,$E$7)</f>
        <v>0.45713528098177342</v>
      </c>
      <c r="R29">
        <f>JouleThomsonCoefficient(D29, E29,compositionRange2(),$E$6,0)</f>
        <v>0.59353857441314706</v>
      </c>
      <c r="S29">
        <f>speedOfSound(D29, E29,compositionRange2(),$E$6,0)</f>
        <v>370.73474320895349</v>
      </c>
      <c r="T29">
        <f>gibbsEnergy(D29, E29,compositionRange2(),$E$6,$E$7)</f>
        <v>120.44849643139891</v>
      </c>
    </row>
    <row r="30" spans="4:20" x14ac:dyDescent="0.25">
      <c r="D30">
        <f t="shared" si="0"/>
        <v>25</v>
      </c>
      <c r="E30">
        <f t="shared" si="2"/>
        <v>35</v>
      </c>
      <c r="F30">
        <f>enthalpy(D30,E30,compositionRange2(),$E$6,$E$7)</f>
        <v>-244.27061062432315</v>
      </c>
      <c r="G30">
        <f>entropy(D30, E30,compositionRange2(),$E$6,$E$7)</f>
        <v>-1.2446207304996719</v>
      </c>
      <c r="H30">
        <f>molecularWeight(D30, E30,compositionRange2(),$E$6,$E$7)</f>
        <v>37.670162879477033</v>
      </c>
      <c r="I30">
        <f>molFraction(D30, E30,compositionRange2(),$E$6,E$7,E$8)</f>
        <v>0.88057162506910414</v>
      </c>
      <c r="J30">
        <f>viscosity(D30, E30,compositionRange2(),$E$6,$E$7)</f>
        <v>7.3375868109020116E-5</v>
      </c>
      <c r="K30" t="e">
        <f>phaseFraction(D30, E30,compositionRange2(),$E$6,E$7)</f>
        <v>#VALUE!</v>
      </c>
      <c r="L30">
        <f>internalEnergy(D30, E30,compositionRange2(),$E$6,$E$7)</f>
        <v>-275.00738630649545</v>
      </c>
      <c r="M30">
        <f>Cp(D30, E30,compositionRange2(),$E$6,$E$7)</f>
        <v>2.571162318871568</v>
      </c>
      <c r="N30">
        <f>Cv(D30, E30,compositionRange2(),$E$6,$E$7)</f>
        <v>1.8405333892335296</v>
      </c>
      <c r="O30">
        <f>conductivity(D30, E30,compositionRange2(),$E$6,$E$7)</f>
        <v>6.8254108796826682E-2</v>
      </c>
      <c r="P30">
        <f>density(D30, E30,compositionRange2(),$E$6,$E$7)</f>
        <v>120.10147939727369</v>
      </c>
      <c r="Q30">
        <f>compressibilityFactor(D30, E30,compositionRange2(),$E$6,$E$7)</f>
        <v>0.46707522747190366</v>
      </c>
      <c r="R30">
        <f>JouleThomsonCoefficient(D30, E30,compositionRange2(),$E$6,0)</f>
        <v>0.59360319906749859</v>
      </c>
      <c r="S30">
        <f>speedOfSound(D30, E30,compositionRange2(),$E$6,0)</f>
        <v>366.39000918168534</v>
      </c>
      <c r="T30">
        <f>gibbsEnergy(D30, E30,compositionRange2(),$E$6,$E$7)</f>
        <v>126.81306017415402</v>
      </c>
    </row>
    <row r="31" spans="4:20" x14ac:dyDescent="0.25">
      <c r="D31">
        <f t="shared" si="0"/>
        <v>30</v>
      </c>
      <c r="E31">
        <f t="shared" si="2"/>
        <v>35</v>
      </c>
      <c r="F31">
        <f>enthalpy(D31,E31,compositionRange2(),$E$6,$E$7)</f>
        <v>-226.99360335378742</v>
      </c>
      <c r="G31">
        <f>entropy(D31, E31,compositionRange2(),$E$6,$E$7)</f>
        <v>-1.1871568039030014</v>
      </c>
      <c r="H31">
        <f>molecularWeight(D31, E31,compositionRange2(),$E$6,$E$7)</f>
        <v>37.670162879477033</v>
      </c>
      <c r="I31">
        <f>molFraction(D31, E31,compositionRange2(),$E$6,E$7,E$8)</f>
        <v>0.86415872104846692</v>
      </c>
      <c r="J31">
        <f>viscosity(D31, E31,compositionRange2(),$E$6,$E$7)</f>
        <v>6.908099479404721E-5</v>
      </c>
      <c r="K31" t="e">
        <f>phaseFraction(D31, E31,compositionRange2(),$E$6,E$7)</f>
        <v>#VALUE!</v>
      </c>
      <c r="L31">
        <f>internalEnergy(D31, E31,compositionRange2(),$E$6,$E$7)</f>
        <v>-258.94702271482282</v>
      </c>
      <c r="M31">
        <f>Cp(D31, E31,compositionRange2(),$E$6,$E$7)</f>
        <v>2.5920261166551737</v>
      </c>
      <c r="N31">
        <f>Cv(D31, E31,compositionRange2(),$E$6,$E$7)</f>
        <v>1.8511009187822267</v>
      </c>
      <c r="O31">
        <f>conductivity(D31, E31,compositionRange2(),$E$6,$E$7)</f>
        <v>6.6424642328167055E-2</v>
      </c>
      <c r="P31">
        <f>density(D31, E31,compositionRange2(),$E$6,$E$7)</f>
        <v>115.35142093635885</v>
      </c>
      <c r="Q31">
        <f>compressibilityFactor(D31, E31,compositionRange2(),$E$6,$E$7)</f>
        <v>0.47755468127727457</v>
      </c>
      <c r="R31">
        <f>JouleThomsonCoefficient(D31, E31,compositionRange2(),$E$6,0)</f>
        <v>0.59571322507783175</v>
      </c>
      <c r="S31">
        <f>speedOfSound(D31, E31,compositionRange2(),$E$6,0)</f>
        <v>361.36315253119227</v>
      </c>
      <c r="T31">
        <f>gibbsEnergy(D31, E31,compositionRange2(),$E$6,$E$7)</f>
        <v>132.89298174940743</v>
      </c>
    </row>
    <row r="32" spans="4:20" x14ac:dyDescent="0.25">
      <c r="D32">
        <f t="shared" si="0"/>
        <v>35</v>
      </c>
      <c r="E32">
        <f t="shared" si="2"/>
        <v>35</v>
      </c>
      <c r="F32">
        <f>enthalpy(D32,E32,compositionRange2(),$E$6,$E$7)</f>
        <v>-209.04164045030402</v>
      </c>
      <c r="G32">
        <f>entropy(D32, E32,compositionRange2(),$E$6,$E$7)</f>
        <v>-1.1284249781514017</v>
      </c>
      <c r="H32">
        <f>molecularWeight(D32, E32,compositionRange2(),$E$6,$E$7)</f>
        <v>37.670162879477033</v>
      </c>
      <c r="I32">
        <f>molFraction(D32, E32,compositionRange2(),$E$6,E$7,E$8)</f>
        <v>0.84605897997726964</v>
      </c>
      <c r="J32">
        <f>viscosity(D32, E32,compositionRange2(),$E$6,$E$7)</f>
        <v>6.4880625666913422E-5</v>
      </c>
      <c r="K32" t="e">
        <f>phaseFraction(D32, E32,compositionRange2(),$E$6,E$7)</f>
        <v>#VALUE!</v>
      </c>
      <c r="L32">
        <f>internalEnergy(D32, E32,compositionRange2(),$E$6,$E$7)</f>
        <v>-242.28259509712646</v>
      </c>
      <c r="M32">
        <f>Cp(D32, E32,compositionRange2(),$E$6,$E$7)</f>
        <v>2.6127189305037257</v>
      </c>
      <c r="N32">
        <f>Cv(D32, E32,compositionRange2(),$E$6,$E$7)</f>
        <v>1.8613715472990662</v>
      </c>
      <c r="O32">
        <f>conductivity(D32, E32,compositionRange2(),$E$6,$E$7)</f>
        <v>6.4583197307530371E-2</v>
      </c>
      <c r="P32">
        <f>density(D32, E32,compositionRange2(),$E$6,$E$7)</f>
        <v>110.69750363283887</v>
      </c>
      <c r="Q32">
        <f>compressibilityFactor(D32, E32,compositionRange2(),$E$6,$E$7)</f>
        <v>0.48873636649986357</v>
      </c>
      <c r="R32">
        <f>JouleThomsonCoefficient(D32, E32,compositionRange2(),$E$6,0)</f>
        <v>0.59991030010047397</v>
      </c>
      <c r="S32">
        <f>speedOfSound(D32, E32,compositionRange2(),$E$6,0)</f>
        <v>355.68620048419746</v>
      </c>
      <c r="T32">
        <f>gibbsEnergy(D32, E32,compositionRange2(),$E$6,$E$7)</f>
        <v>138.68251656705038</v>
      </c>
    </row>
    <row r="33" spans="4:20" x14ac:dyDescent="0.25">
      <c r="D33">
        <f t="shared" si="0"/>
        <v>40</v>
      </c>
      <c r="E33">
        <f t="shared" si="2"/>
        <v>35</v>
      </c>
      <c r="F33">
        <f>enthalpy(D33,E33,compositionRange2(),$E$6,$E$7)</f>
        <v>-190.3207683788394</v>
      </c>
      <c r="G33">
        <f>entropy(D33, E33,compositionRange2(),$E$6,$E$7)</f>
        <v>-1.0681636685231779</v>
      </c>
      <c r="H33">
        <f>molecularWeight(D33, E33,compositionRange2(),$E$6,$E$7)</f>
        <v>37.670162879477033</v>
      </c>
      <c r="I33">
        <f>molFraction(D33, E33,compositionRange2(),$E$6,E$7,E$8)</f>
        <v>0.82617221758566106</v>
      </c>
      <c r="J33">
        <f>viscosity(D33, E33,compositionRange2(),$E$6,$E$7)</f>
        <v>6.0756076816939032E-5</v>
      </c>
      <c r="K33" t="e">
        <f>phaseFraction(D33, E33,compositionRange2(),$E$6,E$7)</f>
        <v>#VALUE!</v>
      </c>
      <c r="L33">
        <f>internalEnergy(D33, E33,compositionRange2(),$E$6,$E$7)</f>
        <v>-224.93488531162359</v>
      </c>
      <c r="M33">
        <f>Cp(D33, E33,compositionRange2(),$E$6,$E$7)</f>
        <v>2.6329458580289438</v>
      </c>
      <c r="N33">
        <f>Cv(D33, E33,compositionRange2(),$E$6,$E$7)</f>
        <v>1.8712613847596464</v>
      </c>
      <c r="O33">
        <f>conductivity(D33, E33,compositionRange2(),$E$6,$E$7)</f>
        <v>6.2719029100622159E-2</v>
      </c>
      <c r="P33">
        <f>density(D33, E33,compositionRange2(),$E$6,$E$7)</f>
        <v>106.11060739483304</v>
      </c>
      <c r="Q33">
        <f>compressibilityFactor(D33, E33,compositionRange2(),$E$6,$E$7)</f>
        <v>0.50079983885633184</v>
      </c>
      <c r="R33">
        <f>JouleThomsonCoefficient(D33, E33,compositionRange2(),$E$6,0)</f>
        <v>0.6062518812974016</v>
      </c>
      <c r="S33">
        <f>speedOfSound(D33, E33,compositionRange2(),$E$6,0)</f>
        <v>349.39675813952891</v>
      </c>
      <c r="T33">
        <f>gibbsEnergy(D33, E33,compositionRange2(),$E$6,$E$7)</f>
        <v>144.17468441919374</v>
      </c>
    </row>
    <row r="34" spans="4:20" x14ac:dyDescent="0.25">
      <c r="D34">
        <f t="shared" si="0"/>
        <v>45</v>
      </c>
      <c r="E34">
        <f t="shared" si="2"/>
        <v>35</v>
      </c>
      <c r="F34">
        <f>enthalpy(D34,E34,compositionRange2(),$E$6,$E$7)</f>
        <v>-170.72149477334585</v>
      </c>
      <c r="G34">
        <f>entropy(D34, E34,compositionRange2(),$E$6,$E$7)</f>
        <v>-1.0060745065930696</v>
      </c>
      <c r="H34">
        <f>molecularWeight(D34, E34,compositionRange2(),$E$6,$E$7)</f>
        <v>37.670162879477033</v>
      </c>
      <c r="I34">
        <f>molFraction(D34, E34,compositionRange2(),$E$6,E$7,E$8)</f>
        <v>0.80440215411338711</v>
      </c>
      <c r="J34">
        <f>viscosity(D34, E34,compositionRange2(),$E$6,$E$7)</f>
        <v>5.6687312855799259E-5</v>
      </c>
      <c r="K34" t="e">
        <f>phaseFraction(D34, E34,compositionRange2(),$E$6,E$7)</f>
        <v>#VALUE!</v>
      </c>
      <c r="L34">
        <f>internalEnergy(D34, E34,compositionRange2(),$E$6,$E$7)</f>
        <v>-206.81154561348839</v>
      </c>
      <c r="M34">
        <f>Cp(D34, E34,compositionRange2(),$E$6,$E$7)</f>
        <v>2.6523333341790041</v>
      </c>
      <c r="N34">
        <f>Cv(D34, E34,compositionRange2(),$E$6,$E$7)</f>
        <v>1.8806748751552331</v>
      </c>
      <c r="O34">
        <f>conductivity(D34, E34,compositionRange2(),$E$6,$E$7)</f>
        <v>6.0820625669099064E-2</v>
      </c>
      <c r="P34">
        <f>density(D34, E34,compositionRange2(),$E$6,$E$7)</f>
        <v>101.56539997174673</v>
      </c>
      <c r="Q34">
        <f>compressibilityFactor(D34, E34,compositionRange2(),$E$6,$E$7)</f>
        <v>0.51394767567394262</v>
      </c>
      <c r="R34">
        <f>JouleThomsonCoefficient(D34, E34,compositionRange2(),$E$6,0)</f>
        <v>0.61481353736278654</v>
      </c>
      <c r="S34">
        <f>speedOfSound(D34, E34,compositionRange2(),$E$6,0)</f>
        <v>342.5367809117318</v>
      </c>
      <c r="T34">
        <f>gibbsEnergy(D34, E34,compositionRange2(),$E$6,$E$7)</f>
        <v>149.36110949923918</v>
      </c>
    </row>
    <row r="35" spans="4:20" x14ac:dyDescent="0.25">
      <c r="D35">
        <f t="shared" si="0"/>
        <v>50</v>
      </c>
      <c r="E35">
        <f t="shared" si="2"/>
        <v>35</v>
      </c>
      <c r="F35">
        <f>enthalpy(D35,E35,compositionRange2(),$E$6,$E$7)</f>
        <v>-150.11432382497884</v>
      </c>
      <c r="G35">
        <f>entropy(D35, E35,compositionRange2(),$E$6,$E$7)</f>
        <v>-0.94181071458645871</v>
      </c>
      <c r="H35">
        <f>molecularWeight(D35, E35,compositionRange2(),$E$6,$E$7)</f>
        <v>37.670162879477033</v>
      </c>
      <c r="I35">
        <f>molFraction(D35, E35,compositionRange2(),$E$6,E$7,E$8)</f>
        <v>0.78065852347552622</v>
      </c>
      <c r="J35">
        <f>viscosity(D35, E35,compositionRange2(),$E$6,$E$7)</f>
        <v>5.2652443813507887E-5</v>
      </c>
      <c r="K35" t="e">
        <f>phaseFraction(D35, E35,compositionRange2(),$E$6,E$7)</f>
        <v>#VALUE!</v>
      </c>
      <c r="L35">
        <f>internalEnergy(D35, E35,compositionRange2(),$E$6,$E$7)</f>
        <v>-187.80331379034681</v>
      </c>
      <c r="M35">
        <f>Cp(D35, E35,compositionRange2(),$E$6,$E$7)</f>
        <v>2.6703989629693643</v>
      </c>
      <c r="N35">
        <f>Cv(D35, E35,compositionRange2(),$E$6,$E$7)</f>
        <v>1.889501215025559</v>
      </c>
      <c r="O35">
        <f>conductivity(D35, E35,compositionRange2(),$E$6,$E$7)</f>
        <v>5.887517643581569E-2</v>
      </c>
      <c r="P35">
        <f>density(D35, E35,compositionRange2(),$E$6,$E$7)</f>
        <v>97.039664201361433</v>
      </c>
      <c r="Q35">
        <f>compressibilityFactor(D35, E35,compositionRange2(),$E$6,$E$7)</f>
        <v>0.52841322516112565</v>
      </c>
      <c r="R35">
        <f>JouleThomsonCoefficient(D35, E35,compositionRange2(),$E$6,0)</f>
        <v>0.62569208019620248</v>
      </c>
      <c r="S35">
        <f>speedOfSound(D35, E35,compositionRange2(),$E$6,0)</f>
        <v>335.15116645097157</v>
      </c>
      <c r="T35">
        <f>gibbsEnergy(D35, E35,compositionRange2(),$E$6,$E$7)</f>
        <v>154.23180859363521</v>
      </c>
    </row>
    <row r="36" spans="4:20" x14ac:dyDescent="0.25">
      <c r="D36">
        <f t="shared" si="0"/>
        <v>55</v>
      </c>
      <c r="E36">
        <f t="shared" si="2"/>
        <v>35</v>
      </c>
      <c r="F36">
        <f>enthalpy(D36,E36,compositionRange2(),$E$6,$E$7)</f>
        <v>-128.34389910325012</v>
      </c>
      <c r="G36">
        <f>entropy(D36, E36,compositionRange2(),$E$6,$E$7)</f>
        <v>-0.87496209747472886</v>
      </c>
      <c r="H36">
        <f>molecularWeight(D36, E36,compositionRange2(),$E$6,$E$7)</f>
        <v>37.670162879477033</v>
      </c>
      <c r="I36">
        <f>molFraction(D36, E36,compositionRange2(),$E$6,E$7,E$8)</f>
        <v>0.75485957932951775</v>
      </c>
      <c r="J36">
        <f>viscosity(D36, E36,compositionRange2(),$E$6,$E$7)</f>
        <v>4.8627037948482004E-5</v>
      </c>
      <c r="K36" t="e">
        <f>phaseFraction(D36, E36,compositionRange2(),$E$6,E$7)</f>
        <v>#VALUE!</v>
      </c>
      <c r="L36">
        <f>internalEnergy(D36, E36,compositionRange2(),$E$6,$E$7)</f>
        <v>-167.77904900280217</v>
      </c>
      <c r="M36">
        <f>Cp(D36, E36,compositionRange2(),$E$6,$E$7)</f>
        <v>2.6865090311447899</v>
      </c>
      <c r="N36">
        <f>Cv(D36, E36,compositionRange2(),$E$6,$E$7)</f>
        <v>1.8976096895166163</v>
      </c>
      <c r="O36">
        <f>conductivity(D36, E36,compositionRange2(),$E$6,$E$7)</f>
        <v>5.6867924631243301E-2</v>
      </c>
      <c r="P36">
        <f>density(D36, E36,compositionRange2(),$E$6,$E$7)</f>
        <v>92.513773002021566</v>
      </c>
      <c r="Q36">
        <f>compressibilityFactor(D36, E36,compositionRange2(),$E$6,$E$7)</f>
        <v>0.54447059181818058</v>
      </c>
      <c r="R36">
        <f>JouleThomsonCoefficient(D36, E36,compositionRange2(),$E$6,0)</f>
        <v>0.63900971015414143</v>
      </c>
      <c r="S36">
        <f>speedOfSound(D36, E36,compositionRange2(),$E$6,0)</f>
        <v>327.28625318077161</v>
      </c>
      <c r="T36">
        <f>gibbsEnergy(D36, E36,compositionRange2(),$E$6,$E$7)</f>
        <v>158.77491318308211</v>
      </c>
    </row>
    <row r="37" spans="4:20" x14ac:dyDescent="0.25">
      <c r="D37">
        <f t="shared" si="0"/>
        <v>60</v>
      </c>
      <c r="E37">
        <f t="shared" si="2"/>
        <v>35</v>
      </c>
      <c r="F37">
        <f>enthalpy(D37,E37,compositionRange2(),$E$6,$E$7)</f>
        <v>-105.22117729089774</v>
      </c>
      <c r="G37">
        <f>entropy(D37, E37,compositionRange2(),$E$6,$E$7)</f>
        <v>-0.80503521676714085</v>
      </c>
      <c r="H37">
        <f>molecularWeight(D37, E37,compositionRange2(),$E$6,$E$7)</f>
        <v>37.670162879477033</v>
      </c>
      <c r="I37">
        <f>molFraction(D37, E37,compositionRange2(),$E$6,E$7,E$8)</f>
        <v>0.72693504599740977</v>
      </c>
      <c r="J37">
        <f>viscosity(D37, E37,compositionRange2(),$E$6,$E$7)</f>
        <v>4.4583183565920571E-5</v>
      </c>
      <c r="K37" t="e">
        <f>phaseFraction(D37, E37,compositionRange2(),$E$6,E$7)</f>
        <v>#VALUE!</v>
      </c>
      <c r="L37">
        <f>internalEnergy(D37, E37,compositionRange2(),$E$6,$E$7)</f>
        <v>-146.5791002283535</v>
      </c>
      <c r="M37">
        <f>Cp(D37, E37,compositionRange2(),$E$6,$E$7)</f>
        <v>2.6998176180588667</v>
      </c>
      <c r="N37">
        <f>Cv(D37, E37,compositionRange2(),$E$6,$E$7)</f>
        <v>1.9048434705556245</v>
      </c>
      <c r="O37">
        <f>conductivity(D37, E37,compositionRange2(),$E$6,$E$7)</f>
        <v>5.4781343396320306E-2</v>
      </c>
      <c r="P37">
        <f>density(D37, E37,compositionRange2(),$E$6,$E$7)</f>
        <v>87.970275014966575</v>
      </c>
      <c r="Q37">
        <f>compressibilityFactor(D37, E37,compositionRange2(),$E$6,$E$7)</f>
        <v>0.5624478255007076</v>
      </c>
      <c r="R37">
        <f>JouleThomsonCoefficient(D37, E37,compositionRange2(),$E$6,0)</f>
        <v>0.65491943042749245</v>
      </c>
      <c r="S37">
        <f>speedOfSound(D37, E37,compositionRange2(),$E$6,0)</f>
        <v>318.98831038772289</v>
      </c>
      <c r="T37">
        <f>gibbsEnergy(D37, E37,compositionRange2(),$E$6,$E$7)</f>
        <v>162.9763051750752</v>
      </c>
    </row>
    <row r="38" spans="4:20" x14ac:dyDescent="0.25">
      <c r="D38">
        <f t="shared" si="0"/>
        <v>65</v>
      </c>
      <c r="E38">
        <f t="shared" si="2"/>
        <v>35</v>
      </c>
      <c r="F38">
        <f>enthalpy(D38,E38,compositionRange2(),$E$6,$E$7)</f>
        <v>-80.512777587505937</v>
      </c>
      <c r="G38">
        <f>entropy(D38, E38,compositionRange2(),$E$6,$E$7)</f>
        <v>-0.73142662967626093</v>
      </c>
      <c r="H38">
        <f>molecularWeight(D38, E38,compositionRange2(),$E$6,$E$7)</f>
        <v>37.670162879477033</v>
      </c>
      <c r="I38">
        <f>molFraction(D38, E38,compositionRange2(),$E$6,E$7,E$8)</f>
        <v>0.69682955800975899</v>
      </c>
      <c r="J38">
        <f>viscosity(D38, E38,compositionRange2(),$E$6,$E$7)</f>
        <v>4.0488195867576406E-5</v>
      </c>
      <c r="K38" t="e">
        <f>phaseFraction(D38, E38,compositionRange2(),$E$6,E$7)</f>
        <v>#VALUE!</v>
      </c>
      <c r="L38">
        <f>internalEnergy(D38, E38,compositionRange2(),$E$6,$E$7)</f>
        <v>-124.00628315172723</v>
      </c>
      <c r="M38">
        <f>Cp(D38, E38,compositionRange2(),$E$6,$E$7)</f>
        <v>2.7091777332309532</v>
      </c>
      <c r="N38">
        <f>Cv(D38, E38,compositionRange2(),$E$6,$E$7)</f>
        <v>1.9110112032112923</v>
      </c>
      <c r="O38">
        <f>conductivity(D38, E38,compositionRange2(),$E$6,$E$7)</f>
        <v>5.2594048201008804E-2</v>
      </c>
      <c r="P38">
        <f>density(D38, E38,compositionRange2(),$E$6,$E$7)</f>
        <v>83.393564175251598</v>
      </c>
      <c r="Q38">
        <f>compressibilityFactor(D38, E38,compositionRange2(),$E$6,$E$7)</f>
        <v>0.58274473891709688</v>
      </c>
      <c r="R38">
        <f>JouleThomsonCoefficient(D38, E38,compositionRange2(),$E$6,0)</f>
        <v>0.67361208574403952</v>
      </c>
      <c r="S38">
        <f>speedOfSound(D38, E38,compositionRange2(),$E$6,0)</f>
        <v>310.30209450349213</v>
      </c>
      <c r="T38">
        <f>gibbsEnergy(D38, E38,compositionRange2(),$E$6,$E$7)</f>
        <v>166.81913723752169</v>
      </c>
    </row>
    <row r="39" spans="4:20" x14ac:dyDescent="0.25">
      <c r="D39">
        <f t="shared" si="0"/>
        <v>70</v>
      </c>
      <c r="E39">
        <f t="shared" si="2"/>
        <v>35</v>
      </c>
      <c r="F39">
        <f>enthalpy(D39,E39,compositionRange2(),$E$6,$E$7)</f>
        <v>-53.926207968795623</v>
      </c>
      <c r="G39">
        <f>entropy(D39, E39,compositionRange2(),$E$6,$E$7)</f>
        <v>-0.65338599328061486</v>
      </c>
      <c r="H39">
        <f>molecularWeight(D39, E39,compositionRange2(),$E$6,$E$7)</f>
        <v>37.670162879477033</v>
      </c>
      <c r="I39">
        <f>molFraction(D39, E39,compositionRange2(),$E$6,E$7,E$8)</f>
        <v>0.66450662356170553</v>
      </c>
      <c r="J39">
        <f>viscosity(D39, E39,compositionRange2(),$E$6,$E$7)</f>
        <v>3.6302806684272345E-5</v>
      </c>
      <c r="K39" t="e">
        <f>phaseFraction(D39, E39,compositionRange2(),$E$6,E$7)</f>
        <v>#VALUE!</v>
      </c>
      <c r="L39">
        <f>internalEnergy(D39, E39,compositionRange2(),$E$6,$E$7)</f>
        <v>-99.813365692573285</v>
      </c>
      <c r="M39">
        <f>Cp(D39, E39,compositionRange2(),$E$6,$E$7)</f>
        <v>2.7130090880946982</v>
      </c>
      <c r="N39">
        <f>Cv(D39, E39,compositionRange2(),$E$6,$E$7)</f>
        <v>1.9158753580728793</v>
      </c>
      <c r="O39">
        <f>conductivity(D39, E39,compositionRange2(),$E$6,$E$7)</f>
        <v>5.0279312967824633E-2</v>
      </c>
      <c r="P39">
        <f>density(D39, E39,compositionRange2(),$E$6,$E$7)</f>
        <v>78.769613725433913</v>
      </c>
      <c r="Q39">
        <f>compressibilityFactor(D39, E39,compositionRange2(),$E$6,$E$7)</f>
        <v>0.60585750896818147</v>
      </c>
      <c r="R39">
        <f>JouleThomsonCoefficient(D39, E39,compositionRange2(),$E$6,0)</f>
        <v>0.69532552259685554</v>
      </c>
      <c r="S39">
        <f>speedOfSound(D39, E39,compositionRange2(),$E$6,0)</f>
        <v>301.26952970192013</v>
      </c>
      <c r="T39">
        <f>gibbsEnergy(D39, E39,compositionRange2(),$E$6,$E$7)</f>
        <v>170.28319562544735</v>
      </c>
    </row>
    <row r="40" spans="4:20" x14ac:dyDescent="0.25">
      <c r="D40">
        <f t="shared" si="0"/>
        <v>75</v>
      </c>
      <c r="E40">
        <f t="shared" si="2"/>
        <v>35</v>
      </c>
      <c r="F40">
        <f>enthalpy(D40,E40,compositionRange2(),$E$6,$E$7)</f>
        <v>-25.088946561830809</v>
      </c>
      <c r="G40">
        <f>entropy(D40, E40,compositionRange2(),$E$6,$E$7)</f>
        <v>-0.56996406693556079</v>
      </c>
      <c r="H40">
        <f>molecularWeight(D40, E40,compositionRange2(),$E$6,$E$7)</f>
        <v>37.670162879477033</v>
      </c>
      <c r="I40">
        <f>molFraction(D40, E40,compositionRange2(),$E$6,E$7,E$8)</f>
        <v>0.62995313385932405</v>
      </c>
      <c r="J40">
        <f>viscosity(D40, E40,compositionRange2(),$E$6,$E$7)</f>
        <v>3.1978580340266719E-5</v>
      </c>
      <c r="K40" t="e">
        <f>phaseFraction(D40, E40,compositionRange2(),$E$6,E$7)</f>
        <v>#VALUE!</v>
      </c>
      <c r="L40">
        <f>internalEnergy(D40, E40,compositionRange2(),$E$6,$E$7)</f>
        <v>-73.685350144082719</v>
      </c>
      <c r="M40">
        <f>Cp(D40, E40,compositionRange2(),$E$6,$E$7)</f>
        <v>2.7090971066723166</v>
      </c>
      <c r="N40">
        <f>Cv(D40, E40,compositionRange2(),$E$6,$E$7)</f>
        <v>1.9191357595860414</v>
      </c>
      <c r="O40">
        <f>conductivity(D40, E40,compositionRange2(),$E$6,$E$7)</f>
        <v>4.7802982662799143E-2</v>
      </c>
      <c r="P40">
        <f>density(D40, E40,compositionRange2(),$E$6,$E$7)</f>
        <v>74.085760328389881</v>
      </c>
      <c r="Q40">
        <f>compressibilityFactor(D40, E40,compositionRange2(),$E$6,$E$7)</f>
        <v>0.63241341042041643</v>
      </c>
      <c r="R40">
        <f>JouleThomsonCoefficient(D40, E40,compositionRange2(),$E$6,0)</f>
        <v>0.72035657285865251</v>
      </c>
      <c r="S40">
        <f>speedOfSound(D40, E40,compositionRange2(),$E$6,0)</f>
        <v>291.92855092587541</v>
      </c>
      <c r="T40">
        <f>gibbsEnergy(D40, E40,compositionRange2(),$E$6,$E$7)</f>
        <v>173.3440433417847</v>
      </c>
    </row>
    <row r="41" spans="4:20" x14ac:dyDescent="0.25">
      <c r="D41">
        <f t="shared" si="0"/>
        <v>80</v>
      </c>
      <c r="E41">
        <f t="shared" si="2"/>
        <v>35</v>
      </c>
      <c r="F41">
        <f>enthalpy(D41,E41,compositionRange2(),$E$6,$E$7)</f>
        <v>6.4818553071594618</v>
      </c>
      <c r="G41">
        <f>entropy(D41, E41,compositionRange2(),$E$6,$E$7)</f>
        <v>-0.47993768819788163</v>
      </c>
      <c r="H41">
        <f>molecularWeight(D41, E41,compositionRange2(),$E$6,$E$7)</f>
        <v>37.670162879477033</v>
      </c>
      <c r="I41">
        <f>molFraction(D41, E41,compositionRange2(),$E$6,E$7,E$8)</f>
        <v>0.59318442119605985</v>
      </c>
      <c r="J41">
        <f>viscosity(D41, E41,compositionRange2(),$E$6,$E$7)</f>
        <v>2.745413969491951E-5</v>
      </c>
      <c r="K41" t="e">
        <f>phaseFraction(D41, E41,compositionRange2(),$E$6,E$7)</f>
        <v>#VALUE!</v>
      </c>
      <c r="L41">
        <f>internalEnergy(D41, E41,compositionRange2(),$E$6,$E$7)</f>
        <v>-45.213813761510025</v>
      </c>
      <c r="M41">
        <f>Cp(D41, E41,compositionRange2(),$E$6,$E$7)</f>
        <v>2.6942800899385766</v>
      </c>
      <c r="N41">
        <f>Cv(D41, E41,compositionRange2(),$E$6,$E$7)</f>
        <v>1.9204057481510126</v>
      </c>
      <c r="O41">
        <f>conductivity(D41, E41,compositionRange2(),$E$6,$E$7)</f>
        <v>4.5120448783652622E-2</v>
      </c>
      <c r="P41">
        <f>density(D41, E41,compositionRange2(),$E$6,$E$7)</f>
        <v>69.330527633034876</v>
      </c>
      <c r="Q41">
        <f>compressibilityFactor(D41, E41,compositionRange2(),$E$6,$E$7)</f>
        <v>0.66322103185909864</v>
      </c>
      <c r="R41">
        <f>JouleThomsonCoefficient(D41, E41,compositionRange2(),$E$6,0)</f>
        <v>0.74907686219489777</v>
      </c>
      <c r="S41">
        <f>speedOfSound(D41, E41,compositionRange2(),$E$6,0)</f>
        <v>282.31212648986883</v>
      </c>
      <c r="T41">
        <f>gibbsEnergy(D41, E41,compositionRange2(),$E$6,$E$7)</f>
        <v>175.97184989424136</v>
      </c>
    </row>
    <row r="42" spans="4:20" x14ac:dyDescent="0.25">
      <c r="D42">
        <f t="shared" si="0"/>
        <v>85</v>
      </c>
      <c r="E42">
        <f t="shared" si="2"/>
        <v>35</v>
      </c>
      <c r="F42">
        <f>enthalpy(D42,E42,compositionRange2(),$E$6,$E$7)</f>
        <v>41.424378227809697</v>
      </c>
      <c r="G42">
        <f>entropy(D42, E42,compositionRange2(),$E$6,$E$7)</f>
        <v>-0.38169868623125808</v>
      </c>
      <c r="H42">
        <f>molecularWeight(D42, E42,compositionRange2(),$E$6,$E$7)</f>
        <v>37.670162879477033</v>
      </c>
      <c r="I42">
        <f>molFraction(D42, E42,compositionRange2(),$E$6,E$7,E$8)</f>
        <v>0.55424984398082311</v>
      </c>
      <c r="J42">
        <f>viscosity(D42, E42,compositionRange2(),$E$6,$E$7)</f>
        <v>2.2649509037728123E-5</v>
      </c>
      <c r="K42" t="e">
        <f>phaseFraction(D42, E42,compositionRange2(),$E$6,E$7)</f>
        <v>#VALUE!</v>
      </c>
      <c r="L42">
        <f>internalEnergy(D42, E42,compositionRange2(),$E$6,$E$7)</f>
        <v>-13.858794323808969</v>
      </c>
      <c r="M42">
        <f>Cp(D42, E42,compositionRange2(),$E$6,$E$7)</f>
        <v>2.6639490984617744</v>
      </c>
      <c r="N42">
        <f>Cv(D42, E42,compositionRange2(),$E$6,$E$7)</f>
        <v>1.9191767862827189</v>
      </c>
      <c r="O42">
        <f>conductivity(D42, E42,compositionRange2(),$E$6,$E$7)</f>
        <v>4.2172133664802186E-2</v>
      </c>
      <c r="P42">
        <f>density(D42, E42,compositionRange2(),$E$6,$E$7)</f>
        <v>64.493481381752133</v>
      </c>
      <c r="Q42">
        <f>compressibilityFactor(D42, E42,compositionRange2(),$E$6,$E$7)</f>
        <v>0.69934478804894684</v>
      </c>
      <c r="R42">
        <f>JouleThomsonCoefficient(D42, E42,compositionRange2(),$E$6,0)</f>
        <v>0.78195388757112505</v>
      </c>
      <c r="S42">
        <f>speedOfSound(D42, E42,compositionRange2(),$E$6,0)</f>
        <v>272.44745804058516</v>
      </c>
      <c r="T42">
        <f>gibbsEnergy(D42, E42,compositionRange2(),$E$6,$E$7)</f>
        <v>178.12976270153479</v>
      </c>
    </row>
  </sheetData>
  <pageMargins left="0.7" right="0.7" top="0.75" bottom="0.75" header="0.3" footer="0.3"/>
  <pageSetup paperSize="9" orientation="portrait" verticalDpi="598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0</xdr:col>
                    <xdr:colOff>676275</xdr:colOff>
                    <xdr:row>8</xdr:row>
                    <xdr:rowOff>142875</xdr:rowOff>
                  </from>
                  <to>
                    <xdr:col>1</xdr:col>
                    <xdr:colOff>762000</xdr:colOff>
                    <xdr:row>10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2F796B6E4F6744989ED8FB83EB08675" ma:contentTypeVersion="12" ma:contentTypeDescription="Create a new document." ma:contentTypeScope="" ma:versionID="bf12837ff7fd9fe7ae07adf3166cc557">
  <xsd:schema xmlns:xsd="http://www.w3.org/2001/XMLSchema" xmlns:xs="http://www.w3.org/2001/XMLSchema" xmlns:p="http://schemas.microsoft.com/office/2006/metadata/properties" xmlns:ns3="0f7dabdb-7e71-494b-82be-87091e745cea" xmlns:ns4="d4d6909a-a9d9-4e1e-ac7f-22b60dd7148e" targetNamespace="http://schemas.microsoft.com/office/2006/metadata/properties" ma:root="true" ma:fieldsID="b5d9fe9a65c19adae4d2371153fa7d72" ns3:_="" ns4:_="">
    <xsd:import namespace="0f7dabdb-7e71-494b-82be-87091e745cea"/>
    <xsd:import namespace="d4d6909a-a9d9-4e1e-ac7f-22b60dd7148e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AutoTags" minOccurs="0"/>
                <xsd:element ref="ns4:MediaServiceOCR" minOccurs="0"/>
                <xsd:element ref="ns4:MediaServiceDateTaken" minOccurs="0"/>
                <xsd:element ref="ns4:MediaServiceLocation" minOccurs="0"/>
                <xsd:element ref="ns4:MediaServiceGenerationTime" minOccurs="0"/>
                <xsd:element ref="ns4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7dabdb-7e71-494b-82be-87091e745cea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description="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4d6909a-a9d9-4e1e-ac7f-22b60dd7148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MediaServiceAuto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6" nillable="true" ma:displayName="Location" ma:internalName="MediaServiceLocation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SharedContentType xmlns="Microsoft.SharePoint.Taxonomy.ContentTypeSync" SourceId="02f74cf1-ae9f-400d-bc52-3bcd3a9e177f" ContentTypeId="0x0101" PreviousValue="false"/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0768E45C-A689-4A0F-AC6B-ECD8B857A91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f7dabdb-7e71-494b-82be-87091e745cea"/>
    <ds:schemaRef ds:uri="d4d6909a-a9d9-4e1e-ac7f-22b60dd7148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4FC5FD4-2FF1-4872-9C4F-F778920DC7E8}">
  <ds:schemaRefs>
    <ds:schemaRef ds:uri="Microsoft.SharePoint.Taxonomy.ContentTypeSync"/>
  </ds:schemaRefs>
</ds:datastoreItem>
</file>

<file path=customXml/itemProps3.xml><?xml version="1.0" encoding="utf-8"?>
<ds:datastoreItem xmlns:ds="http://schemas.openxmlformats.org/officeDocument/2006/customXml" ds:itemID="{397A2C3A-0173-401C-8AB2-3822AAD01A73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16398870-4430-41E4-910C-72477EBF141A}">
  <ds:schemaRefs>
    <ds:schemaRef ds:uri="http://schemas.microsoft.com/office/2006/metadata/properties"/>
    <ds:schemaRef ds:uri="http://schemas.microsoft.com/office/2006/documentManagement/types"/>
    <ds:schemaRef ds:uri="http://purl.org/dc/elements/1.1/"/>
    <ds:schemaRef ds:uri="0f7dabdb-7e71-494b-82be-87091e745cea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purl.org/dc/terms/"/>
    <ds:schemaRef ds:uri="d4d6909a-a9d9-4e1e-ac7f-22b60dd7148e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Sheet1</vt:lpstr>
      <vt:lpstr>compositionRange</vt:lpstr>
      <vt:lpstr>compRange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Even Solbraa</dc:creator>
  <cp:lastModifiedBy>Even Solbraa</cp:lastModifiedBy>
  <dcterms:created xsi:type="dcterms:W3CDTF">2018-10-19T06:56:15Z</dcterms:created>
  <dcterms:modified xsi:type="dcterms:W3CDTF">2019-09-24T08:10:22Z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0x01010012F796B6E4F6744989ED8FB83EB08675</vt:lpwstr>
  </property>
</Properties>
</file>