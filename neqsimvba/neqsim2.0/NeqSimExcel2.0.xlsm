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atoilsrm-my.sharepoint.com/personal/esol_equinor_com/Documents/programming/NeqSimWin/neqsimvba/neqsim2.0/"/>
    </mc:Choice>
  </mc:AlternateContent>
  <xr:revisionPtr revIDLastSave="2" documentId="8_{A89B67D2-FA87-4DC3-8C3F-86630C84662D}" xr6:coauthVersionLast="46" xr6:coauthVersionMax="46" xr10:uidLastSave="{1B97BB36-ED38-4EEF-B883-2386DB61D63B}"/>
  <bookViews>
    <workbookView xWindow="-96" yWindow="-96" windowWidth="23232" windowHeight="12552" xr2:uid="{DEDFD768-1505-4493-8622-0266F6288E92}"/>
  </bookViews>
  <sheets>
    <sheet name="Sheet1" sheetId="1" r:id="rId1"/>
  </sheets>
  <functionGroup name="Multiflash Add-In"/>
  <functionGroup name=""/>
  <functionGroup name="PI DataLink"/>
  <definedNames>
    <definedName name="compositionRange">Sheet1!$B$4:$B$19</definedName>
    <definedName name="compRange">Sheet1!$B$4:$B$13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" l="1"/>
  <c r="Q14" i="1"/>
  <c r="N14" i="1"/>
  <c r="P14" i="1"/>
  <c r="O14" i="1"/>
  <c r="L14" i="1"/>
  <c r="M14" i="1"/>
  <c r="K14" i="1"/>
  <c r="G14" i="1"/>
  <c r="I14" i="1"/>
  <c r="F14" i="1"/>
  <c r="T14" i="1"/>
  <c r="R14" i="1"/>
  <c r="S14" i="1"/>
  <c r="J14" i="1"/>
  <c r="H14" i="1"/>
  <c r="E16" i="1" l="1"/>
  <c r="D15" i="1"/>
  <c r="N15" i="1"/>
  <c r="I15" i="1"/>
  <c r="S15" i="1"/>
  <c r="P15" i="1"/>
  <c r="G15" i="1"/>
  <c r="M15" i="1"/>
  <c r="F15" i="1"/>
  <c r="K15" i="1"/>
  <c r="R15" i="1"/>
  <c r="T15" i="1"/>
  <c r="L15" i="1"/>
  <c r="O15" i="1"/>
  <c r="J15" i="1"/>
  <c r="H15" i="1"/>
  <c r="Q15" i="1"/>
  <c r="E17" i="1" l="1"/>
  <c r="D16" i="1"/>
  <c r="M16" i="1"/>
  <c r="T16" i="1"/>
  <c r="N16" i="1"/>
  <c r="L16" i="1"/>
  <c r="Q16" i="1"/>
  <c r="I16" i="1"/>
  <c r="P16" i="1"/>
  <c r="S16" i="1"/>
  <c r="F16" i="1"/>
  <c r="K16" i="1"/>
  <c r="H16" i="1"/>
  <c r="G16" i="1"/>
  <c r="R16" i="1"/>
  <c r="J16" i="1"/>
  <c r="O16" i="1"/>
  <c r="E18" i="1" l="1"/>
  <c r="D17" i="1"/>
  <c r="L17" i="1"/>
  <c r="G17" i="1"/>
  <c r="Q17" i="1"/>
  <c r="O17" i="1"/>
  <c r="J17" i="1"/>
  <c r="H17" i="1"/>
  <c r="S17" i="1"/>
  <c r="K17" i="1"/>
  <c r="R17" i="1"/>
  <c r="T17" i="1"/>
  <c r="M17" i="1"/>
  <c r="P17" i="1"/>
  <c r="I17" i="1"/>
  <c r="F17" i="1"/>
  <c r="N17" i="1"/>
  <c r="E19" i="1" l="1"/>
  <c r="D18" i="1"/>
  <c r="H18" i="1"/>
  <c r="G18" i="1"/>
  <c r="R18" i="1"/>
  <c r="T18" i="1"/>
  <c r="L18" i="1"/>
  <c r="Q18" i="1"/>
  <c r="O18" i="1"/>
  <c r="N18" i="1"/>
  <c r="I18" i="1"/>
  <c r="P18" i="1"/>
  <c r="J18" i="1"/>
  <c r="F18" i="1"/>
  <c r="K18" i="1"/>
  <c r="S18" i="1"/>
  <c r="M18" i="1"/>
  <c r="E20" i="1" l="1"/>
  <c r="D19" i="1"/>
  <c r="R19" i="1"/>
  <c r="F19" i="1"/>
  <c r="Q19" i="1"/>
  <c r="M19" i="1"/>
  <c r="G19" i="1"/>
  <c r="P19" i="1"/>
  <c r="S19" i="1"/>
  <c r="J19" i="1"/>
  <c r="I19" i="1"/>
  <c r="T19" i="1"/>
  <c r="O19" i="1"/>
  <c r="H19" i="1"/>
  <c r="L19" i="1"/>
  <c r="N19" i="1"/>
  <c r="K19" i="1"/>
  <c r="E21" i="1" l="1"/>
  <c r="D20" i="1"/>
  <c r="R20" i="1"/>
  <c r="L20" i="1"/>
  <c r="G20" i="1"/>
  <c r="F20" i="1"/>
  <c r="M20" i="1"/>
  <c r="S20" i="1"/>
  <c r="T20" i="1"/>
  <c r="I20" i="1"/>
  <c r="P20" i="1"/>
  <c r="N20" i="1"/>
  <c r="Q20" i="1"/>
  <c r="K20" i="1"/>
  <c r="H20" i="1"/>
  <c r="O20" i="1"/>
  <c r="J20" i="1"/>
  <c r="E22" i="1" l="1"/>
  <c r="D21" i="1"/>
  <c r="R21" i="1"/>
  <c r="O21" i="1"/>
  <c r="I21" i="1"/>
  <c r="N21" i="1"/>
  <c r="L21" i="1"/>
  <c r="H21" i="1"/>
  <c r="M21" i="1"/>
  <c r="S21" i="1"/>
  <c r="J21" i="1"/>
  <c r="K21" i="1"/>
  <c r="Q21" i="1"/>
  <c r="G21" i="1"/>
  <c r="T21" i="1"/>
  <c r="F21" i="1"/>
  <c r="P21" i="1"/>
  <c r="E23" i="1" l="1"/>
  <c r="D22" i="1"/>
  <c r="K22" i="1"/>
  <c r="R22" i="1"/>
  <c r="J22" i="1"/>
  <c r="I22" i="1"/>
  <c r="N22" i="1"/>
  <c r="L22" i="1"/>
  <c r="Q22" i="1"/>
  <c r="M22" i="1"/>
  <c r="P22" i="1"/>
  <c r="G22" i="1"/>
  <c r="O22" i="1"/>
  <c r="T22" i="1"/>
  <c r="S22" i="1"/>
  <c r="H22" i="1"/>
  <c r="F22" i="1"/>
  <c r="E24" i="1" l="1"/>
  <c r="D23" i="1"/>
  <c r="F23" i="1"/>
  <c r="N23" i="1"/>
  <c r="L23" i="1"/>
  <c r="K23" i="1"/>
  <c r="G23" i="1"/>
  <c r="R23" i="1"/>
  <c r="M23" i="1"/>
  <c r="J23" i="1"/>
  <c r="P23" i="1"/>
  <c r="O23" i="1"/>
  <c r="S23" i="1"/>
  <c r="I23" i="1"/>
  <c r="T23" i="1"/>
  <c r="Q23" i="1"/>
  <c r="H23" i="1"/>
  <c r="E25" i="1" l="1"/>
  <c r="D24" i="1"/>
  <c r="I24" i="1"/>
  <c r="H24" i="1"/>
  <c r="N24" i="1"/>
  <c r="K24" i="1"/>
  <c r="J24" i="1"/>
  <c r="G24" i="1"/>
  <c r="T24" i="1"/>
  <c r="Q24" i="1"/>
  <c r="S24" i="1"/>
  <c r="R24" i="1"/>
  <c r="O24" i="1"/>
  <c r="F24" i="1"/>
  <c r="L24" i="1"/>
  <c r="M24" i="1"/>
  <c r="P24" i="1"/>
  <c r="E26" i="1" l="1"/>
  <c r="D25" i="1"/>
  <c r="T25" i="1"/>
  <c r="L25" i="1"/>
  <c r="I25" i="1"/>
  <c r="S25" i="1"/>
  <c r="P25" i="1"/>
  <c r="M25" i="1"/>
  <c r="J25" i="1"/>
  <c r="F25" i="1"/>
  <c r="Q25" i="1"/>
  <c r="G25" i="1"/>
  <c r="H25" i="1"/>
  <c r="N25" i="1"/>
  <c r="K25" i="1"/>
  <c r="R25" i="1"/>
  <c r="O25" i="1"/>
  <c r="E27" i="1" l="1"/>
  <c r="D26" i="1"/>
  <c r="P26" i="1"/>
  <c r="S26" i="1"/>
  <c r="L26" i="1"/>
  <c r="G26" i="1"/>
  <c r="M26" i="1"/>
  <c r="H26" i="1"/>
  <c r="I26" i="1"/>
  <c r="R26" i="1"/>
  <c r="N26" i="1"/>
  <c r="O26" i="1"/>
  <c r="K26" i="1"/>
  <c r="T26" i="1"/>
  <c r="F26" i="1"/>
  <c r="J26" i="1"/>
  <c r="Q26" i="1"/>
  <c r="E28" i="1" l="1"/>
  <c r="D27" i="1"/>
  <c r="P27" i="1"/>
  <c r="K27" i="1"/>
  <c r="M27" i="1"/>
  <c r="S27" i="1"/>
  <c r="H27" i="1"/>
  <c r="L27" i="1"/>
  <c r="O27" i="1"/>
  <c r="G27" i="1"/>
  <c r="R27" i="1"/>
  <c r="F27" i="1"/>
  <c r="T27" i="1"/>
  <c r="Q27" i="1"/>
  <c r="J27" i="1"/>
  <c r="I27" i="1"/>
  <c r="N27" i="1"/>
  <c r="E29" i="1" l="1"/>
  <c r="D28" i="1"/>
  <c r="S28" i="1"/>
  <c r="F28" i="1"/>
  <c r="P28" i="1"/>
  <c r="M28" i="1"/>
  <c r="Q28" i="1"/>
  <c r="G28" i="1"/>
  <c r="K28" i="1"/>
  <c r="L28" i="1"/>
  <c r="O28" i="1"/>
  <c r="R28" i="1"/>
  <c r="I28" i="1"/>
  <c r="T28" i="1"/>
  <c r="N28" i="1"/>
  <c r="H28" i="1"/>
  <c r="J28" i="1"/>
  <c r="D29" i="1" l="1"/>
  <c r="E30" i="1"/>
  <c r="K29" i="1"/>
  <c r="H29" i="1"/>
  <c r="Q29" i="1"/>
  <c r="G29" i="1"/>
  <c r="I29" i="1"/>
  <c r="P29" i="1"/>
  <c r="T29" i="1"/>
  <c r="R29" i="1"/>
  <c r="M29" i="1"/>
  <c r="N29" i="1"/>
  <c r="S29" i="1"/>
  <c r="J29" i="1"/>
  <c r="F29" i="1"/>
  <c r="L29" i="1"/>
  <c r="O29" i="1"/>
  <c r="D30" i="1" l="1"/>
  <c r="E31" i="1"/>
  <c r="J30" i="1"/>
  <c r="N30" i="1"/>
  <c r="O30" i="1"/>
  <c r="H30" i="1"/>
  <c r="K30" i="1"/>
  <c r="R30" i="1"/>
  <c r="L30" i="1"/>
  <c r="I30" i="1"/>
  <c r="P30" i="1"/>
  <c r="T30" i="1"/>
  <c r="G30" i="1"/>
  <c r="F30" i="1"/>
  <c r="M30" i="1"/>
  <c r="S30" i="1"/>
  <c r="Q30" i="1"/>
  <c r="E32" i="1" l="1"/>
  <c r="D31" i="1"/>
  <c r="T31" i="1"/>
  <c r="L31" i="1"/>
  <c r="G31" i="1"/>
  <c r="Q31" i="1"/>
  <c r="S31" i="1"/>
  <c r="R31" i="1"/>
  <c r="F31" i="1"/>
  <c r="K31" i="1"/>
  <c r="I31" i="1"/>
  <c r="M31" i="1"/>
  <c r="J31" i="1"/>
  <c r="P31" i="1"/>
  <c r="H31" i="1"/>
  <c r="O31" i="1"/>
  <c r="N31" i="1"/>
  <c r="D32" i="1" l="1"/>
  <c r="E33" i="1"/>
  <c r="N32" i="1"/>
  <c r="F32" i="1"/>
  <c r="K32" i="1"/>
  <c r="J32" i="1"/>
  <c r="G32" i="1"/>
  <c r="O32" i="1"/>
  <c r="P32" i="1"/>
  <c r="Q32" i="1"/>
  <c r="T32" i="1"/>
  <c r="M32" i="1"/>
  <c r="R32" i="1"/>
  <c r="I32" i="1"/>
  <c r="H32" i="1"/>
  <c r="L32" i="1"/>
  <c r="S32" i="1"/>
  <c r="D33" i="1" l="1"/>
  <c r="E34" i="1"/>
  <c r="J33" i="1"/>
  <c r="S33" i="1"/>
  <c r="H33" i="1"/>
  <c r="M33" i="1"/>
  <c r="K33" i="1"/>
  <c r="L33" i="1"/>
  <c r="Q33" i="1"/>
  <c r="T33" i="1"/>
  <c r="F33" i="1"/>
  <c r="I33" i="1"/>
  <c r="R33" i="1"/>
  <c r="G33" i="1"/>
  <c r="P33" i="1"/>
  <c r="N33" i="1"/>
  <c r="O33" i="1"/>
  <c r="E35" i="1" l="1"/>
  <c r="D34" i="1"/>
  <c r="O34" i="1"/>
  <c r="K34" i="1"/>
  <c r="R34" i="1"/>
  <c r="I34" i="1"/>
  <c r="T34" i="1"/>
  <c r="F34" i="1"/>
  <c r="J34" i="1"/>
  <c r="L34" i="1"/>
  <c r="M34" i="1"/>
  <c r="H34" i="1"/>
  <c r="N34" i="1"/>
  <c r="Q34" i="1"/>
  <c r="G34" i="1"/>
  <c r="S34" i="1"/>
  <c r="P34" i="1"/>
  <c r="D35" i="1" l="1"/>
  <c r="E36" i="1"/>
  <c r="I35" i="1"/>
  <c r="H35" i="1"/>
  <c r="S35" i="1"/>
  <c r="F35" i="1"/>
  <c r="G35" i="1"/>
  <c r="J35" i="1"/>
  <c r="P35" i="1"/>
  <c r="L35" i="1"/>
  <c r="K35" i="1"/>
  <c r="N35" i="1"/>
  <c r="O35" i="1"/>
  <c r="T35" i="1"/>
  <c r="M35" i="1"/>
  <c r="R35" i="1"/>
  <c r="Q35" i="1"/>
  <c r="E37" i="1" l="1"/>
  <c r="D36" i="1"/>
  <c r="L36" i="1"/>
  <c r="S36" i="1"/>
  <c r="K36" i="1"/>
  <c r="H36" i="1"/>
  <c r="F36" i="1"/>
  <c r="T36" i="1"/>
  <c r="R36" i="1"/>
  <c r="O36" i="1"/>
  <c r="P36" i="1"/>
  <c r="G36" i="1"/>
  <c r="Q36" i="1"/>
  <c r="I36" i="1"/>
  <c r="N36" i="1"/>
  <c r="M36" i="1"/>
  <c r="J36" i="1"/>
  <c r="D37" i="1" l="1"/>
  <c r="E38" i="1"/>
  <c r="G37" i="1"/>
  <c r="Q37" i="1"/>
  <c r="R37" i="1"/>
  <c r="L37" i="1"/>
  <c r="F37" i="1"/>
  <c r="P37" i="1"/>
  <c r="K37" i="1"/>
  <c r="T37" i="1"/>
  <c r="M37" i="1"/>
  <c r="I37" i="1"/>
  <c r="S37" i="1"/>
  <c r="N37" i="1"/>
  <c r="O37" i="1"/>
  <c r="H37" i="1"/>
  <c r="J37" i="1"/>
  <c r="E39" i="1" l="1"/>
  <c r="D38" i="1"/>
  <c r="M38" i="1"/>
  <c r="F38" i="1"/>
  <c r="I38" i="1"/>
  <c r="R38" i="1"/>
  <c r="H38" i="1"/>
  <c r="K38" i="1"/>
  <c r="S38" i="1"/>
  <c r="O38" i="1"/>
  <c r="P38" i="1"/>
  <c r="T38" i="1"/>
  <c r="Q38" i="1"/>
  <c r="J38" i="1"/>
  <c r="L38" i="1"/>
  <c r="G38" i="1"/>
  <c r="N38" i="1"/>
  <c r="E40" i="1" l="1"/>
  <c r="D39" i="1"/>
  <c r="L39" i="1"/>
  <c r="H39" i="1"/>
  <c r="S39" i="1"/>
  <c r="N39" i="1"/>
  <c r="K39" i="1"/>
  <c r="G39" i="1"/>
  <c r="F39" i="1"/>
  <c r="J39" i="1"/>
  <c r="M39" i="1"/>
  <c r="T39" i="1"/>
  <c r="Q39" i="1"/>
  <c r="R39" i="1"/>
  <c r="P39" i="1"/>
  <c r="O39" i="1"/>
  <c r="I39" i="1"/>
  <c r="D40" i="1" l="1"/>
  <c r="E41" i="1"/>
  <c r="K40" i="1"/>
  <c r="J40" i="1"/>
  <c r="O40" i="1"/>
  <c r="F40" i="1"/>
  <c r="M40" i="1"/>
  <c r="L40" i="1"/>
  <c r="N40" i="1"/>
  <c r="P40" i="1"/>
  <c r="T40" i="1"/>
  <c r="I40" i="1"/>
  <c r="Q40" i="1"/>
  <c r="S40" i="1"/>
  <c r="R40" i="1"/>
  <c r="G40" i="1"/>
  <c r="H40" i="1"/>
  <c r="D41" i="1" l="1"/>
  <c r="E42" i="1"/>
  <c r="N41" i="1"/>
  <c r="G41" i="1"/>
  <c r="R41" i="1"/>
  <c r="L41" i="1"/>
  <c r="F41" i="1"/>
  <c r="P41" i="1"/>
  <c r="O41" i="1"/>
  <c r="K41" i="1"/>
  <c r="M41" i="1"/>
  <c r="T41" i="1"/>
  <c r="Q41" i="1"/>
  <c r="J41" i="1"/>
  <c r="I41" i="1"/>
  <c r="S41" i="1"/>
  <c r="H41" i="1"/>
  <c r="D42" i="1" l="1"/>
  <c r="F42" i="1"/>
  <c r="Q42" i="1"/>
  <c r="N42" i="1"/>
  <c r="J42" i="1"/>
  <c r="L42" i="1"/>
  <c r="S42" i="1"/>
  <c r="I42" i="1"/>
  <c r="G42" i="1"/>
  <c r="T42" i="1"/>
  <c r="O42" i="1"/>
  <c r="H42" i="1"/>
  <c r="P42" i="1"/>
  <c r="M42" i="1"/>
  <c r="R42" i="1"/>
  <c r="K42" i="1"/>
</calcChain>
</file>

<file path=xl/sharedStrings.xml><?xml version="1.0" encoding="utf-8"?>
<sst xmlns="http://schemas.openxmlformats.org/spreadsheetml/2006/main" count="29" uniqueCount="29">
  <si>
    <t>Composition</t>
  </si>
  <si>
    <t>enthalpy [kJ/kg]</t>
  </si>
  <si>
    <t>entropy [kJ/kgK]</t>
  </si>
  <si>
    <t>Mw (kg/kmol)</t>
  </si>
  <si>
    <t>Cp[kJ/kgK]</t>
  </si>
  <si>
    <t>Cv [kJ/kgK]</t>
  </si>
  <si>
    <t>viscosity[kg/m*sec]</t>
  </si>
  <si>
    <t>conductivity[W/m*K]</t>
  </si>
  <si>
    <t>phase fraction [-]</t>
  </si>
  <si>
    <t>internal energy [kJ/kgK]</t>
  </si>
  <si>
    <t>JT coeff[K/bar]</t>
  </si>
  <si>
    <t>speedof sound [m/s]</t>
  </si>
  <si>
    <t>Z compressbility [-]</t>
  </si>
  <si>
    <t>density [kg/m^3]</t>
  </si>
  <si>
    <t>molFraction [-]</t>
  </si>
  <si>
    <t>Temperature [C]</t>
  </si>
  <si>
    <t>Pressure [bara]</t>
  </si>
  <si>
    <t>mole fraction</t>
  </si>
  <si>
    <t>To recalculate:</t>
  </si>
  <si>
    <t>Ctrl+Alt+F9</t>
  </si>
  <si>
    <t>Phase (-1 total, 0 gas, 1 liquid)</t>
  </si>
  <si>
    <t>Component number (0 to numerOfComp-1)</t>
  </si>
  <si>
    <t>Flash (-2 multiphase Tpflash, -1 two-phase TPflash, 0 gas, 1 liquid)</t>
  </si>
  <si>
    <t>gibbs energy[kJ/kg]</t>
  </si>
  <si>
    <t>methane</t>
  </si>
  <si>
    <t>ethane</t>
  </si>
  <si>
    <t>propane</t>
  </si>
  <si>
    <t>i-butane</t>
  </si>
  <si>
    <t>n-butane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</si>
</sst>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678180</xdr:colOff>
          <xdr:row>8</xdr:row>
          <xdr:rowOff>144780</xdr:rowOff>
        </xdr:from>
        <xdr:to>
          <xdr:col>1</xdr:col>
          <xdr:colOff>762000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Fluid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62C6B-ED25-4AA9-B0D3-60C6A43822E0}">
  <sheetPr codeName="Sheet1"/>
  <dimension ref="A3:T42"/>
  <sheetViews>
    <sheetView tabSelected="1" workbookViewId="0">
      <selection activeCell="B4" sqref="B4"/>
    </sheetView>
  </sheetViews>
  <sheetFormatPr defaultRowHeight="14.4" x14ac:dyDescent="0.55000000000000004"/>
  <cols>
    <col min="1" max="1" width="17.26171875" customWidth="1"/>
    <col min="2" max="3" width="16.68359375" customWidth="1"/>
    <col min="4" max="4" width="58.15625" customWidth="1"/>
    <col min="5" max="5" width="16.41796875" customWidth="1"/>
    <col min="6" max="6" width="20.83984375" customWidth="1"/>
    <col min="7" max="7" width="20.41796875" customWidth="1"/>
    <col min="8" max="8" width="16.26171875" bestFit="1" customWidth="1"/>
    <col min="9" max="9" width="19.83984375" customWidth="1"/>
    <col min="10" max="10" width="12" bestFit="1" customWidth="1"/>
    <col min="11" max="11" width="10.68359375" bestFit="1" customWidth="1"/>
    <col min="12" max="12" width="20.15625" bestFit="1" customWidth="1"/>
    <col min="13" max="13" width="17.41796875" customWidth="1"/>
    <col min="14" max="14" width="20.68359375" customWidth="1"/>
    <col min="15" max="15" width="14.15625" bestFit="1" customWidth="1"/>
    <col min="16" max="16" width="19.68359375" bestFit="1" customWidth="1"/>
    <col min="19" max="19" width="19.68359375" bestFit="1" customWidth="1"/>
  </cols>
  <sheetData>
    <row r="3" spans="1:20" x14ac:dyDescent="0.55000000000000004">
      <c r="A3" s="1" t="s">
        <v>0</v>
      </c>
      <c r="B3" s="1" t="s">
        <v>17</v>
      </c>
      <c r="C3" s="1"/>
      <c r="D3" t="s">
        <v>18</v>
      </c>
    </row>
    <row r="4" spans="1:20" x14ac:dyDescent="0.55000000000000004">
      <c r="A4" t="s">
        <v>24</v>
      </c>
      <c r="B4">
        <v>0.47878503509494308</v>
      </c>
      <c r="D4" t="s">
        <v>19</v>
      </c>
    </row>
    <row r="5" spans="1:20" x14ac:dyDescent="0.55000000000000004">
      <c r="A5" t="s">
        <v>25</v>
      </c>
      <c r="B5">
        <v>1.0373675760390435E-2</v>
      </c>
    </row>
    <row r="6" spans="1:20" x14ac:dyDescent="0.55000000000000004">
      <c r="A6" t="s">
        <v>26</v>
      </c>
      <c r="B6">
        <v>1.0373675760390435E-3</v>
      </c>
      <c r="D6" t="s">
        <v>22</v>
      </c>
      <c r="E6">
        <v>-2</v>
      </c>
    </row>
    <row r="7" spans="1:20" x14ac:dyDescent="0.55000000000000004">
      <c r="A7" t="s">
        <v>27</v>
      </c>
      <c r="B7">
        <v>4.9019607843137272E-3</v>
      </c>
      <c r="D7" t="s">
        <v>20</v>
      </c>
      <c r="E7">
        <v>-1</v>
      </c>
    </row>
    <row r="8" spans="1:20" x14ac:dyDescent="0.55000000000000004">
      <c r="A8" t="s">
        <v>28</v>
      </c>
      <c r="B8">
        <v>0.50490196078431371</v>
      </c>
      <c r="D8" t="s">
        <v>21</v>
      </c>
      <c r="E8">
        <v>0</v>
      </c>
    </row>
    <row r="13" spans="1:20" x14ac:dyDescent="0.55000000000000004">
      <c r="D13" t="s">
        <v>15</v>
      </c>
      <c r="E13" t="s">
        <v>16</v>
      </c>
      <c r="F13" t="s">
        <v>1</v>
      </c>
      <c r="G13" t="s">
        <v>2</v>
      </c>
      <c r="H13" t="s">
        <v>3</v>
      </c>
      <c r="I13" t="s">
        <v>14</v>
      </c>
      <c r="J13" t="s">
        <v>6</v>
      </c>
      <c r="K13" t="s">
        <v>8</v>
      </c>
      <c r="L13" t="s">
        <v>9</v>
      </c>
      <c r="M13" t="s">
        <v>4</v>
      </c>
      <c r="N13" t="s">
        <v>5</v>
      </c>
      <c r="O13" t="s">
        <v>7</v>
      </c>
      <c r="P13" t="s">
        <v>13</v>
      </c>
      <c r="Q13" t="s">
        <v>12</v>
      </c>
      <c r="R13" t="s">
        <v>10</v>
      </c>
      <c r="S13" t="s">
        <v>11</v>
      </c>
      <c r="T13" t="s">
        <v>23</v>
      </c>
    </row>
    <row r="14" spans="1:20" x14ac:dyDescent="0.55000000000000004">
      <c r="D14">
        <v>-55</v>
      </c>
      <c r="E14">
        <v>35</v>
      </c>
      <c r="F14" t="e">
        <f ca="1">enthalpy(D14,E14,compositionRange2(),$E$6,$E$7)</f>
        <v>#NAME?</v>
      </c>
      <c r="G14" t="e">
        <f ca="1">entropy(D14, E14,compositionRange2(),$E$6,$E$7)</f>
        <v>#NAME?</v>
      </c>
      <c r="H14" t="e">
        <f ca="1">molecularWeight(D14, E14,compositionRange2(),$E$6,$E$7)</f>
        <v>#NAME?</v>
      </c>
      <c r="I14" t="e">
        <f ca="1">molFraction(D14, E14,compositionRange2(),$E$6,E$7,E$8)</f>
        <v>#NAME?</v>
      </c>
      <c r="J14" t="e">
        <f ca="1">viscosity(D14, E14,compositionRange2(),$E$6,$E$7)</f>
        <v>#NAME?</v>
      </c>
      <c r="K14" t="e">
        <f ca="1">phaseFraction(D14, E14,compositionRange2(),$E$6,E$7)</f>
        <v>#NAME?</v>
      </c>
      <c r="L14" t="e">
        <f ca="1">internalEnergy(D14, E14,compositionRange2(),$E$6,$E$7)</f>
        <v>#NAME?</v>
      </c>
      <c r="M14" t="e">
        <f ca="1">Cp(D14, E14,compositionRange2(),$E$6,$E$7)</f>
        <v>#NAME?</v>
      </c>
      <c r="N14" t="e">
        <f ca="1">Cv(D14, E14,compositionRange2(),$E$6,$E$7)</f>
        <v>#NAME?</v>
      </c>
      <c r="O14" t="e">
        <f ca="1">conductivity(D14, E14,compositionRange2(),$E$6,$E$7)</f>
        <v>#NAME?</v>
      </c>
      <c r="P14" t="e">
        <f ca="1">density(D14, E14,compositionRange2(),$E$6,$E$7)</f>
        <v>#NAME?</v>
      </c>
      <c r="Q14" t="e">
        <f ca="1">compressibilityFactor(D14, E14,compositionRange2(),$E$6,$E$7)</f>
        <v>#NAME?</v>
      </c>
      <c r="R14" t="e">
        <f ca="1">JouleThomsonCoefficient(D14, E14,compositionRange2(),$E$6,0)</f>
        <v>#NAME?</v>
      </c>
      <c r="S14" t="e">
        <f ca="1">speedOfSound(D14, E14,compositionRange2(),$E$6,0)</f>
        <v>#NAME?</v>
      </c>
      <c r="T14" t="e">
        <f ca="1">gibbsEnergy(D14, E14,compositionRange2(),$E$6,$E$7)</f>
        <v>#NAME?</v>
      </c>
    </row>
    <row r="15" spans="1:20" x14ac:dyDescent="0.55000000000000004">
      <c r="D15">
        <f>D14+5</f>
        <v>-50</v>
      </c>
      <c r="E15">
        <f>E14</f>
        <v>35</v>
      </c>
      <c r="F15" t="e">
        <f ca="1">enthalpy(D15,E15,compositionRange2(),$E$6,$E$7)</f>
        <v>#NAME?</v>
      </c>
      <c r="G15" t="e">
        <f ca="1">entropy(D15, E15,compositionRange2(),$E$6,$E$7)</f>
        <v>#NAME?</v>
      </c>
      <c r="H15" t="e">
        <f ca="1">molecularWeight(D15, E15,compositionRange2(),$E$6,$E$7)</f>
        <v>#NAME?</v>
      </c>
      <c r="I15" t="e">
        <f ca="1">molFraction(D15, E15,compositionRange2(),$E$6,E$7,E$8)</f>
        <v>#NAME?</v>
      </c>
      <c r="J15" t="e">
        <f ca="1">viscosity(D15, E15,compositionRange2(),$E$6,$E$7)</f>
        <v>#NAME?</v>
      </c>
      <c r="K15" t="e">
        <f ca="1">phaseFraction(D15, E15,compositionRange2(),$E$6,E$7)</f>
        <v>#NAME?</v>
      </c>
      <c r="L15" t="e">
        <f ca="1">internalEnergy(D15, E15,compositionRange2(),$E$6,$E$7)</f>
        <v>#NAME?</v>
      </c>
      <c r="M15" t="e">
        <f ca="1">Cp(D15, E15,compositionRange2(),$E$6,$E$7)</f>
        <v>#NAME?</v>
      </c>
      <c r="N15" t="e">
        <f ca="1">Cv(D15, E15,compositionRange2(),$E$6,$E$7)</f>
        <v>#NAME?</v>
      </c>
      <c r="O15" t="e">
        <f ca="1">conductivity(D15, E15,compositionRange2(),$E$6,$E$7)</f>
        <v>#NAME?</v>
      </c>
      <c r="P15" t="e">
        <f ca="1">density(D15, E15,compositionRange2(),$E$6,$E$7)</f>
        <v>#NAME?</v>
      </c>
      <c r="Q15" t="e">
        <f ca="1">compressibilityFactor(D15, E15,compositionRange2(),$E$6,$E$7)</f>
        <v>#NAME?</v>
      </c>
      <c r="R15" t="e">
        <f ca="1">JouleThomsonCoefficient(D15, E15,compositionRange2(),$E$6,0)</f>
        <v>#NAME?</v>
      </c>
      <c r="S15" t="e">
        <f ca="1">speedOfSound(D15, E15,compositionRange2(),$E$6,0)</f>
        <v>#NAME?</v>
      </c>
      <c r="T15" t="e">
        <f ca="1">gibbsEnergy(D15, E15,compositionRange2(),$E$6,$E$7)</f>
        <v>#NAME?</v>
      </c>
    </row>
    <row r="16" spans="1:20" x14ac:dyDescent="0.55000000000000004">
      <c r="D16">
        <f t="shared" ref="D16:D42" si="0">D15+5</f>
        <v>-45</v>
      </c>
      <c r="E16">
        <f t="shared" ref="E16:E27" si="1">E15</f>
        <v>35</v>
      </c>
      <c r="F16" t="e">
        <f ca="1">enthalpy(D16,E16,compositionRange2(),$E$6,$E$7)</f>
        <v>#NAME?</v>
      </c>
      <c r="G16" t="e">
        <f ca="1">entropy(D16, E16,compositionRange2(),$E$6,$E$7)</f>
        <v>#NAME?</v>
      </c>
      <c r="H16" t="e">
        <f ca="1">molecularWeight(D16, E16,compositionRange2(),$E$6,$E$7)</f>
        <v>#NAME?</v>
      </c>
      <c r="I16" t="e">
        <f ca="1">molFraction(D16, E16,compositionRange2(),$E$6,E$7,E$8)</f>
        <v>#NAME?</v>
      </c>
      <c r="J16" t="e">
        <f ca="1">viscosity(D16, E16,compositionRange2(),$E$6,$E$7)</f>
        <v>#NAME?</v>
      </c>
      <c r="K16" t="e">
        <f ca="1">phaseFraction(D16, E16,compositionRange2(),$E$6,E$7)</f>
        <v>#NAME?</v>
      </c>
      <c r="L16" t="e">
        <f ca="1">internalEnergy(D16, E16,compositionRange2(),$E$6,$E$7)</f>
        <v>#NAME?</v>
      </c>
      <c r="M16" t="e">
        <f ca="1">Cp(D16, E16,compositionRange2(),$E$6,$E$7)</f>
        <v>#NAME?</v>
      </c>
      <c r="N16" t="e">
        <f ca="1">Cv(D16, E16,compositionRange2(),$E$6,$E$7)</f>
        <v>#NAME?</v>
      </c>
      <c r="O16" t="e">
        <f ca="1">conductivity(D16, E16,compositionRange2(),$E$6,$E$7)</f>
        <v>#NAME?</v>
      </c>
      <c r="P16" t="e">
        <f ca="1">density(D16, E16,compositionRange2(),$E$6,$E$7)</f>
        <v>#NAME?</v>
      </c>
      <c r="Q16" t="e">
        <f ca="1">compressibilityFactor(D16, E16,compositionRange2(),$E$6,$E$7)</f>
        <v>#NAME?</v>
      </c>
      <c r="R16" t="e">
        <f ca="1">JouleThomsonCoefficient(D16, E16,compositionRange2(),$E$6,0)</f>
        <v>#NAME?</v>
      </c>
      <c r="S16" t="e">
        <f ca="1">speedOfSound(D16, E16,compositionRange2(),$E$6,0)</f>
        <v>#NAME?</v>
      </c>
      <c r="T16" t="e">
        <f ca="1">gibbsEnergy(D16, E16,compositionRange2(),$E$6,$E$7)</f>
        <v>#NAME?</v>
      </c>
    </row>
    <row r="17" spans="4:20" x14ac:dyDescent="0.55000000000000004">
      <c r="D17">
        <f t="shared" si="0"/>
        <v>-40</v>
      </c>
      <c r="E17">
        <f t="shared" si="1"/>
        <v>35</v>
      </c>
      <c r="F17" t="e">
        <f ca="1">enthalpy(D17,E17,compositionRange2(),$E$6,$E$7)</f>
        <v>#NAME?</v>
      </c>
      <c r="G17" t="e">
        <f ca="1">entropy(D17, E17,compositionRange2(),$E$6,$E$7)</f>
        <v>#NAME?</v>
      </c>
      <c r="H17" t="e">
        <f ca="1">molecularWeight(D17, E17,compositionRange2(),$E$6,$E$7)</f>
        <v>#NAME?</v>
      </c>
      <c r="I17" t="e">
        <f ca="1">molFraction(D17, E17,compositionRange2(),$E$6,E$7,E$8)</f>
        <v>#NAME?</v>
      </c>
      <c r="J17" t="e">
        <f ca="1">viscosity(D17, E17,compositionRange2(),$E$6,$E$7)</f>
        <v>#NAME?</v>
      </c>
      <c r="K17" t="e">
        <f ca="1">phaseFraction(D17, E17,compositionRange2(),$E$6,E$7)</f>
        <v>#NAME?</v>
      </c>
      <c r="L17" t="e">
        <f ca="1">internalEnergy(D17, E17,compositionRange2(),$E$6,$E$7)</f>
        <v>#NAME?</v>
      </c>
      <c r="M17" t="e">
        <f ca="1">Cp(D17, E17,compositionRange2(),$E$6,$E$7)</f>
        <v>#NAME?</v>
      </c>
      <c r="N17" t="e">
        <f ca="1">Cv(D17, E17,compositionRange2(),$E$6,$E$7)</f>
        <v>#NAME?</v>
      </c>
      <c r="O17" t="e">
        <f ca="1">conductivity(D17, E17,compositionRange2(),$E$6,$E$7)</f>
        <v>#NAME?</v>
      </c>
      <c r="P17" t="e">
        <f ca="1">density(D17, E17,compositionRange2(),$E$6,$E$7)</f>
        <v>#NAME?</v>
      </c>
      <c r="Q17" t="e">
        <f ca="1">compressibilityFactor(D17, E17,compositionRange2(),$E$6,$E$7)</f>
        <v>#NAME?</v>
      </c>
      <c r="R17" t="e">
        <f ca="1">JouleThomsonCoefficient(D17, E17,compositionRange2(),$E$6,0)</f>
        <v>#NAME?</v>
      </c>
      <c r="S17" t="e">
        <f ca="1">speedOfSound(D17, E17,compositionRange2(),$E$6,0)</f>
        <v>#NAME?</v>
      </c>
      <c r="T17" t="e">
        <f ca="1">gibbsEnergy(D17, E17,compositionRange2(),$E$6,$E$7)</f>
        <v>#NAME?</v>
      </c>
    </row>
    <row r="18" spans="4:20" x14ac:dyDescent="0.55000000000000004">
      <c r="D18">
        <f t="shared" si="0"/>
        <v>-35</v>
      </c>
      <c r="E18">
        <f t="shared" si="1"/>
        <v>35</v>
      </c>
      <c r="F18" t="e">
        <f ca="1">enthalpy(D18,E18,compositionRange2(),$E$6,$E$7)</f>
        <v>#NAME?</v>
      </c>
      <c r="G18" t="e">
        <f ca="1">entropy(D18, E18,compositionRange2(),$E$6,$E$7)</f>
        <v>#NAME?</v>
      </c>
      <c r="H18" t="e">
        <f ca="1">molecularWeight(D18, E18,compositionRange2(),$E$6,$E$7)</f>
        <v>#NAME?</v>
      </c>
      <c r="I18" t="e">
        <f ca="1">molFraction(D18, E18,compositionRange2(),$E$6,E$7,E$8)</f>
        <v>#NAME?</v>
      </c>
      <c r="J18" t="e">
        <f ca="1">viscosity(D18, E18,compositionRange2(),$E$6,$E$7)</f>
        <v>#NAME?</v>
      </c>
      <c r="K18" t="e">
        <f ca="1">phaseFraction(D18, E18,compositionRange2(),$E$6,E$7)</f>
        <v>#NAME?</v>
      </c>
      <c r="L18" t="e">
        <f ca="1">internalEnergy(D18, E18,compositionRange2(),$E$6,$E$7)</f>
        <v>#NAME?</v>
      </c>
      <c r="M18" t="e">
        <f ca="1">Cp(D18, E18,compositionRange2(),$E$6,$E$7)</f>
        <v>#NAME?</v>
      </c>
      <c r="N18" t="e">
        <f ca="1">Cv(D18, E18,compositionRange2(),$E$6,$E$7)</f>
        <v>#NAME?</v>
      </c>
      <c r="O18" t="e">
        <f ca="1">conductivity(D18, E18,compositionRange2(),$E$6,$E$7)</f>
        <v>#NAME?</v>
      </c>
      <c r="P18" t="e">
        <f ca="1">density(D18, E18,compositionRange2(),$E$6,$E$7)</f>
        <v>#NAME?</v>
      </c>
      <c r="Q18" t="e">
        <f ca="1">compressibilityFactor(D18, E18,compositionRange2(),$E$6,$E$7)</f>
        <v>#NAME?</v>
      </c>
      <c r="R18" t="e">
        <f ca="1">JouleThomsonCoefficient(D18, E18,compositionRange2(),$E$6,0)</f>
        <v>#NAME?</v>
      </c>
      <c r="S18" t="e">
        <f ca="1">speedOfSound(D18, E18,compositionRange2(),$E$6,0)</f>
        <v>#NAME?</v>
      </c>
      <c r="T18" t="e">
        <f ca="1">gibbsEnergy(D18, E18,compositionRange2(),$E$6,$E$7)</f>
        <v>#NAME?</v>
      </c>
    </row>
    <row r="19" spans="4:20" x14ac:dyDescent="0.55000000000000004">
      <c r="D19">
        <f t="shared" si="0"/>
        <v>-30</v>
      </c>
      <c r="E19">
        <f t="shared" si="1"/>
        <v>35</v>
      </c>
      <c r="F19" t="e">
        <f ca="1">enthalpy(D19,E19,compositionRange2(),$E$6,$E$7)</f>
        <v>#NAME?</v>
      </c>
      <c r="G19" t="e">
        <f ca="1">entropy(D19, E19,compositionRange2(),$E$6,$E$7)</f>
        <v>#NAME?</v>
      </c>
      <c r="H19" t="e">
        <f ca="1">molecularWeight(D19, E19,compositionRange2(),$E$6,$E$7)</f>
        <v>#NAME?</v>
      </c>
      <c r="I19" t="e">
        <f ca="1">molFraction(D19, E19,compositionRange2(),$E$6,E$7,E$8)</f>
        <v>#NAME?</v>
      </c>
      <c r="J19" t="e">
        <f ca="1">viscosity(D19, E19,compositionRange2(),$E$6,$E$7)</f>
        <v>#NAME?</v>
      </c>
      <c r="K19" t="e">
        <f ca="1">phaseFraction(D19, E19,compositionRange2(),$E$6,E$7)</f>
        <v>#NAME?</v>
      </c>
      <c r="L19" t="e">
        <f ca="1">internalEnergy(D19, E19,compositionRange2(),$E$6,$E$7)</f>
        <v>#NAME?</v>
      </c>
      <c r="M19" t="e">
        <f ca="1">Cp(D19, E19,compositionRange2(),$E$6,$E$7)</f>
        <v>#NAME?</v>
      </c>
      <c r="N19" t="e">
        <f ca="1">Cv(D19, E19,compositionRange2(),$E$6,$E$7)</f>
        <v>#NAME?</v>
      </c>
      <c r="O19" t="e">
        <f ca="1">conductivity(D19, E19,compositionRange2(),$E$6,$E$7)</f>
        <v>#NAME?</v>
      </c>
      <c r="P19" t="e">
        <f ca="1">density(D19, E19,compositionRange2(),$E$6,$E$7)</f>
        <v>#NAME?</v>
      </c>
      <c r="Q19" t="e">
        <f ca="1">compressibilityFactor(D19, E19,compositionRange2(),$E$6,$E$7)</f>
        <v>#NAME?</v>
      </c>
      <c r="R19" t="e">
        <f ca="1">JouleThomsonCoefficient(D19, E19,compositionRange2(),$E$6,0)</f>
        <v>#NAME?</v>
      </c>
      <c r="S19" t="e">
        <f ca="1">speedOfSound(D19, E19,compositionRange2(),$E$6,0)</f>
        <v>#NAME?</v>
      </c>
      <c r="T19" t="e">
        <f ca="1">gibbsEnergy(D19, E19,compositionRange2(),$E$6,$E$7)</f>
        <v>#NAME?</v>
      </c>
    </row>
    <row r="20" spans="4:20" x14ac:dyDescent="0.55000000000000004">
      <c r="D20">
        <f t="shared" si="0"/>
        <v>-25</v>
      </c>
      <c r="E20">
        <f t="shared" si="1"/>
        <v>35</v>
      </c>
      <c r="F20" t="e">
        <f ca="1">enthalpy(D20,E20,compositionRange2(),$E$6,$E$7)</f>
        <v>#NAME?</v>
      </c>
      <c r="G20" t="e">
        <f ca="1">entropy(D20, E20,compositionRange2(),$E$6,$E$7)</f>
        <v>#NAME?</v>
      </c>
      <c r="H20" t="e">
        <f ca="1">molecularWeight(D20, E20,compositionRange2(),$E$6,$E$7)</f>
        <v>#NAME?</v>
      </c>
      <c r="I20" t="e">
        <f ca="1">molFraction(D20, E20,compositionRange2(),$E$6,E$7,E$8)</f>
        <v>#NAME?</v>
      </c>
      <c r="J20" t="e">
        <f ca="1">viscosity(D20, E20,compositionRange2(),$E$6,$E$7)</f>
        <v>#NAME?</v>
      </c>
      <c r="K20" t="e">
        <f ca="1">phaseFraction(D20, E20,compositionRange2(),$E$6,E$7)</f>
        <v>#NAME?</v>
      </c>
      <c r="L20" t="e">
        <f ca="1">internalEnergy(D20, E20,compositionRange2(),$E$6,$E$7)</f>
        <v>#NAME?</v>
      </c>
      <c r="M20" t="e">
        <f ca="1">Cp(D20, E20,compositionRange2(),$E$6,$E$7)</f>
        <v>#NAME?</v>
      </c>
      <c r="N20" t="e">
        <f ca="1">Cv(D20, E20,compositionRange2(),$E$6,$E$7)</f>
        <v>#NAME?</v>
      </c>
      <c r="O20" t="e">
        <f ca="1">conductivity(D20, E20,compositionRange2(),$E$6,$E$7)</f>
        <v>#NAME?</v>
      </c>
      <c r="P20" t="e">
        <f ca="1">density(D20, E20,compositionRange2(),$E$6,$E$7)</f>
        <v>#NAME?</v>
      </c>
      <c r="Q20" t="e">
        <f ca="1">compressibilityFactor(D20, E20,compositionRange2(),$E$6,$E$7)</f>
        <v>#NAME?</v>
      </c>
      <c r="R20" t="e">
        <f ca="1">JouleThomsonCoefficient(D20, E20,compositionRange2(),$E$6,0)</f>
        <v>#NAME?</v>
      </c>
      <c r="S20" t="e">
        <f ca="1">speedOfSound(D20, E20,compositionRange2(),$E$6,0)</f>
        <v>#NAME?</v>
      </c>
      <c r="T20" t="e">
        <f ca="1">gibbsEnergy(D20, E20,compositionRange2(),$E$6,$E$7)</f>
        <v>#NAME?</v>
      </c>
    </row>
    <row r="21" spans="4:20" x14ac:dyDescent="0.55000000000000004">
      <c r="D21">
        <f t="shared" si="0"/>
        <v>-20</v>
      </c>
      <c r="E21">
        <f t="shared" si="1"/>
        <v>35</v>
      </c>
      <c r="F21" t="e">
        <f ca="1">enthalpy(D21,E21,compositionRange2(),$E$6,$E$7)</f>
        <v>#NAME?</v>
      </c>
      <c r="G21" t="e">
        <f ca="1">entropy(D21, E21,compositionRange2(),$E$6,$E$7)</f>
        <v>#NAME?</v>
      </c>
      <c r="H21" t="e">
        <f ca="1">molecularWeight(D21, E21,compositionRange2(),$E$6,$E$7)</f>
        <v>#NAME?</v>
      </c>
      <c r="I21" t="e">
        <f ca="1">molFraction(D21, E21,compositionRange2(),$E$6,E$7,E$8)</f>
        <v>#NAME?</v>
      </c>
      <c r="J21" t="e">
        <f ca="1">viscosity(D21, E21,compositionRange2(),$E$6,$E$7)</f>
        <v>#NAME?</v>
      </c>
      <c r="K21" t="e">
        <f ca="1">phaseFraction(D21, E21,compositionRange2(),$E$6,E$7)</f>
        <v>#NAME?</v>
      </c>
      <c r="L21" t="e">
        <f ca="1">internalEnergy(D21, E21,compositionRange2(),$E$6,$E$7)</f>
        <v>#NAME?</v>
      </c>
      <c r="M21" t="e">
        <f ca="1">Cp(D21, E21,compositionRange2(),$E$6,$E$7)</f>
        <v>#NAME?</v>
      </c>
      <c r="N21" t="e">
        <f ca="1">Cv(D21, E21,compositionRange2(),$E$6,$E$7)</f>
        <v>#NAME?</v>
      </c>
      <c r="O21" t="e">
        <f ca="1">conductivity(D21, E21,compositionRange2(),$E$6,$E$7)</f>
        <v>#NAME?</v>
      </c>
      <c r="P21" t="e">
        <f ca="1">density(D21, E21,compositionRange2(),$E$6,$E$7)</f>
        <v>#NAME?</v>
      </c>
      <c r="Q21" t="e">
        <f ca="1">compressibilityFactor(D21, E21,compositionRange2(),$E$6,$E$7)</f>
        <v>#NAME?</v>
      </c>
      <c r="R21" t="e">
        <f ca="1">JouleThomsonCoefficient(D21, E21,compositionRange2(),$E$6,0)</f>
        <v>#NAME?</v>
      </c>
      <c r="S21" t="e">
        <f ca="1">speedOfSound(D21, E21,compositionRange2(),$E$6,0)</f>
        <v>#NAME?</v>
      </c>
      <c r="T21" t="e">
        <f ca="1">gibbsEnergy(D21, E21,compositionRange2(),$E$6,$E$7)</f>
        <v>#NAME?</v>
      </c>
    </row>
    <row r="22" spans="4:20" x14ac:dyDescent="0.55000000000000004">
      <c r="D22">
        <f t="shared" si="0"/>
        <v>-15</v>
      </c>
      <c r="E22">
        <f t="shared" si="1"/>
        <v>35</v>
      </c>
      <c r="F22" t="e">
        <f ca="1">enthalpy(D22,E22,compositionRange2(),$E$6,$E$7)</f>
        <v>#NAME?</v>
      </c>
      <c r="G22" t="e">
        <f ca="1">entropy(D22, E22,compositionRange2(),$E$6,$E$7)</f>
        <v>#NAME?</v>
      </c>
      <c r="H22" t="e">
        <f ca="1">molecularWeight(D22, E22,compositionRange2(),$E$6,$E$7)</f>
        <v>#NAME?</v>
      </c>
      <c r="I22" t="e">
        <f ca="1">molFraction(D22, E22,compositionRange2(),$E$6,E$7,E$8)</f>
        <v>#NAME?</v>
      </c>
      <c r="J22" t="e">
        <f ca="1">viscosity(D22, E22,compositionRange2(),$E$6,$E$7)</f>
        <v>#NAME?</v>
      </c>
      <c r="K22" t="e">
        <f ca="1">phaseFraction(D22, E22,compositionRange2(),$E$6,E$7)</f>
        <v>#NAME?</v>
      </c>
      <c r="L22" t="e">
        <f ca="1">internalEnergy(D22, E22,compositionRange2(),$E$6,$E$7)</f>
        <v>#NAME?</v>
      </c>
      <c r="M22" t="e">
        <f ca="1">Cp(D22, E22,compositionRange2(),$E$6,$E$7)</f>
        <v>#NAME?</v>
      </c>
      <c r="N22" t="e">
        <f ca="1">Cv(D22, E22,compositionRange2(),$E$6,$E$7)</f>
        <v>#NAME?</v>
      </c>
      <c r="O22" t="e">
        <f ca="1">conductivity(D22, E22,compositionRange2(),$E$6,$E$7)</f>
        <v>#NAME?</v>
      </c>
      <c r="P22" t="e">
        <f ca="1">density(D22, E22,compositionRange2(),$E$6,$E$7)</f>
        <v>#NAME?</v>
      </c>
      <c r="Q22" t="e">
        <f ca="1">compressibilityFactor(D22, E22,compositionRange2(),$E$6,$E$7)</f>
        <v>#NAME?</v>
      </c>
      <c r="R22" t="e">
        <f ca="1">JouleThomsonCoefficient(D22, E22,compositionRange2(),$E$6,0)</f>
        <v>#NAME?</v>
      </c>
      <c r="S22" t="e">
        <f ca="1">speedOfSound(D22, E22,compositionRange2(),$E$6,0)</f>
        <v>#NAME?</v>
      </c>
      <c r="T22" t="e">
        <f ca="1">gibbsEnergy(D22, E22,compositionRange2(),$E$6,$E$7)</f>
        <v>#NAME?</v>
      </c>
    </row>
    <row r="23" spans="4:20" x14ac:dyDescent="0.55000000000000004">
      <c r="D23">
        <f t="shared" si="0"/>
        <v>-10</v>
      </c>
      <c r="E23">
        <f t="shared" si="1"/>
        <v>35</v>
      </c>
      <c r="F23" t="e">
        <f ca="1">enthalpy(D23,E23,compositionRange2(),$E$6,$E$7)</f>
        <v>#NAME?</v>
      </c>
      <c r="G23" t="e">
        <f ca="1">entropy(D23, E23,compositionRange2(),$E$6,$E$7)</f>
        <v>#NAME?</v>
      </c>
      <c r="H23" t="e">
        <f ca="1">molecularWeight(D23, E23,compositionRange2(),$E$6,$E$7)</f>
        <v>#NAME?</v>
      </c>
      <c r="I23" t="e">
        <f ca="1">molFraction(D23, E23,compositionRange2(),$E$6,E$7,E$8)</f>
        <v>#NAME?</v>
      </c>
      <c r="J23" t="e">
        <f ca="1">viscosity(D23, E23,compositionRange2(),$E$6,$E$7)</f>
        <v>#NAME?</v>
      </c>
      <c r="K23" t="e">
        <f ca="1">phaseFraction(D23, E23,compositionRange2(),$E$6,E$7)</f>
        <v>#NAME?</v>
      </c>
      <c r="L23" t="e">
        <f ca="1">internalEnergy(D23, E23,compositionRange2(),$E$6,$E$7)</f>
        <v>#NAME?</v>
      </c>
      <c r="M23" t="e">
        <f ca="1">Cp(D23, E23,compositionRange2(),$E$6,$E$7)</f>
        <v>#NAME?</v>
      </c>
      <c r="N23" t="e">
        <f ca="1">Cv(D23, E23,compositionRange2(),$E$6,$E$7)</f>
        <v>#NAME?</v>
      </c>
      <c r="O23" t="e">
        <f ca="1">conductivity(D23, E23,compositionRange2(),$E$6,$E$7)</f>
        <v>#NAME?</v>
      </c>
      <c r="P23" t="e">
        <f ca="1">density(D23, E23,compositionRange2(),$E$6,$E$7)</f>
        <v>#NAME?</v>
      </c>
      <c r="Q23" t="e">
        <f ca="1">compressibilityFactor(D23, E23,compositionRange2(),$E$6,$E$7)</f>
        <v>#NAME?</v>
      </c>
      <c r="R23" t="e">
        <f ca="1">JouleThomsonCoefficient(D23, E23,compositionRange2(),$E$6,0)</f>
        <v>#NAME?</v>
      </c>
      <c r="S23" t="e">
        <f ca="1">speedOfSound(D23, E23,compositionRange2(),$E$6,0)</f>
        <v>#NAME?</v>
      </c>
      <c r="T23" t="e">
        <f ca="1">gibbsEnergy(D23, E23,compositionRange2(),$E$6,$E$7)</f>
        <v>#NAME?</v>
      </c>
    </row>
    <row r="24" spans="4:20" x14ac:dyDescent="0.55000000000000004">
      <c r="D24">
        <f t="shared" si="0"/>
        <v>-5</v>
      </c>
      <c r="E24">
        <f t="shared" si="1"/>
        <v>35</v>
      </c>
      <c r="F24" t="e">
        <f ca="1">enthalpy(D24,E24,compositionRange2(),$E$6,$E$7)</f>
        <v>#NAME?</v>
      </c>
      <c r="G24" t="e">
        <f ca="1">entropy(D24, E24,compositionRange2(),$E$6,$E$7)</f>
        <v>#NAME?</v>
      </c>
      <c r="H24" t="e">
        <f ca="1">molecularWeight(D24, E24,compositionRange2(),$E$6,$E$7)</f>
        <v>#NAME?</v>
      </c>
      <c r="I24" t="e">
        <f ca="1">molFraction(D24, E24,compositionRange2(),$E$6,E$7,E$8)</f>
        <v>#NAME?</v>
      </c>
      <c r="J24" t="e">
        <f ca="1">viscosity(D24, E24,compositionRange2(),$E$6,$E$7)</f>
        <v>#NAME?</v>
      </c>
      <c r="K24" t="e">
        <f ca="1">phaseFraction(D24, E24,compositionRange2(),$E$6,E$7)</f>
        <v>#NAME?</v>
      </c>
      <c r="L24" t="e">
        <f ca="1">internalEnergy(D24, E24,compositionRange2(),$E$6,$E$7)</f>
        <v>#NAME?</v>
      </c>
      <c r="M24" t="e">
        <f ca="1">Cp(D24, E24,compositionRange2(),$E$6,$E$7)</f>
        <v>#NAME?</v>
      </c>
      <c r="N24" t="e">
        <f ca="1">Cv(D24, E24,compositionRange2(),$E$6,$E$7)</f>
        <v>#NAME?</v>
      </c>
      <c r="O24" t="e">
        <f ca="1">conductivity(D24, E24,compositionRange2(),$E$6,$E$7)</f>
        <v>#NAME?</v>
      </c>
      <c r="P24" t="e">
        <f ca="1">density(D24, E24,compositionRange2(),$E$6,$E$7)</f>
        <v>#NAME?</v>
      </c>
      <c r="Q24" t="e">
        <f ca="1">compressibilityFactor(D24, E24,compositionRange2(),$E$6,$E$7)</f>
        <v>#NAME?</v>
      </c>
      <c r="R24" t="e">
        <f ca="1">JouleThomsonCoefficient(D24, E24,compositionRange2(),$E$6,0)</f>
        <v>#NAME?</v>
      </c>
      <c r="S24" t="e">
        <f ca="1">speedOfSound(D24, E24,compositionRange2(),$E$6,0)</f>
        <v>#NAME?</v>
      </c>
      <c r="T24" t="e">
        <f ca="1">gibbsEnergy(D24, E24,compositionRange2(),$E$6,$E$7)</f>
        <v>#NAME?</v>
      </c>
    </row>
    <row r="25" spans="4:20" x14ac:dyDescent="0.55000000000000004">
      <c r="D25">
        <f t="shared" si="0"/>
        <v>0</v>
      </c>
      <c r="E25">
        <f t="shared" si="1"/>
        <v>35</v>
      </c>
      <c r="F25" t="e">
        <f ca="1">enthalpy(D25,E25,compositionRange2(),$E$6,$E$7)</f>
        <v>#NAME?</v>
      </c>
      <c r="G25" t="e">
        <f ca="1">entropy(D25, E25,compositionRange2(),$E$6,$E$7)</f>
        <v>#NAME?</v>
      </c>
      <c r="H25" t="e">
        <f ca="1">molecularWeight(D25, E25,compositionRange2(),$E$6,$E$7)</f>
        <v>#NAME?</v>
      </c>
      <c r="I25" t="e">
        <f ca="1">molFraction(D25, E25,compositionRange2(),$E$6,E$7,E$8)</f>
        <v>#NAME?</v>
      </c>
      <c r="J25" t="e">
        <f ca="1">viscosity(D25, E25,compositionRange2(),$E$6,$E$7)</f>
        <v>#NAME?</v>
      </c>
      <c r="K25" t="e">
        <f ca="1">phaseFraction(D25, E25,compositionRange2(),$E$6,E$7)</f>
        <v>#NAME?</v>
      </c>
      <c r="L25" t="e">
        <f ca="1">internalEnergy(D25, E25,compositionRange2(),$E$6,$E$7)</f>
        <v>#NAME?</v>
      </c>
      <c r="M25" t="e">
        <f ca="1">Cp(D25, E25,compositionRange2(),$E$6,$E$7)</f>
        <v>#NAME?</v>
      </c>
      <c r="N25" t="e">
        <f ca="1">Cv(D25, E25,compositionRange2(),$E$6,$E$7)</f>
        <v>#NAME?</v>
      </c>
      <c r="O25" t="e">
        <f ca="1">conductivity(D25, E25,compositionRange2(),$E$6,$E$7)</f>
        <v>#NAME?</v>
      </c>
      <c r="P25" t="e">
        <f ca="1">density(D25, E25,compositionRange2(),$E$6,$E$7)</f>
        <v>#NAME?</v>
      </c>
      <c r="Q25" t="e">
        <f ca="1">compressibilityFactor(D25, E25,compositionRange2(),$E$6,$E$7)</f>
        <v>#NAME?</v>
      </c>
      <c r="R25" t="e">
        <f ca="1">JouleThomsonCoefficient(D25, E25,compositionRange2(),$E$6,0)</f>
        <v>#NAME?</v>
      </c>
      <c r="S25" t="e">
        <f ca="1">speedOfSound(D25, E25,compositionRange2(),$E$6,0)</f>
        <v>#NAME?</v>
      </c>
      <c r="T25" t="e">
        <f ca="1">gibbsEnergy(D25, E25,compositionRange2(),$E$6,$E$7)</f>
        <v>#NAME?</v>
      </c>
    </row>
    <row r="26" spans="4:20" x14ac:dyDescent="0.55000000000000004">
      <c r="D26">
        <f t="shared" si="0"/>
        <v>5</v>
      </c>
      <c r="E26">
        <f t="shared" si="1"/>
        <v>35</v>
      </c>
      <c r="F26" t="e">
        <f ca="1">enthalpy(D26,E26,compositionRange2(),$E$6,$E$7)</f>
        <v>#NAME?</v>
      </c>
      <c r="G26" t="e">
        <f ca="1">entropy(D26, E26,compositionRange2(),$E$6,$E$7)</f>
        <v>#NAME?</v>
      </c>
      <c r="H26" t="e">
        <f ca="1">molecularWeight(D26, E26,compositionRange2(),$E$6,$E$7)</f>
        <v>#NAME?</v>
      </c>
      <c r="I26" t="e">
        <f ca="1">molFraction(D26, E26,compositionRange2(),$E$6,E$7,E$8)</f>
        <v>#NAME?</v>
      </c>
      <c r="J26" t="e">
        <f ca="1">viscosity(D26, E26,compositionRange2(),$E$6,$E$7)</f>
        <v>#NAME?</v>
      </c>
      <c r="K26" t="e">
        <f ca="1">phaseFraction(D26, E26,compositionRange2(),$E$6,E$7)</f>
        <v>#NAME?</v>
      </c>
      <c r="L26" t="e">
        <f ca="1">internalEnergy(D26, E26,compositionRange2(),$E$6,$E$7)</f>
        <v>#NAME?</v>
      </c>
      <c r="M26" t="e">
        <f ca="1">Cp(D26, E26,compositionRange2(),$E$6,$E$7)</f>
        <v>#NAME?</v>
      </c>
      <c r="N26" t="e">
        <f ca="1">Cv(D26, E26,compositionRange2(),$E$6,$E$7)</f>
        <v>#NAME?</v>
      </c>
      <c r="O26" t="e">
        <f ca="1">conductivity(D26, E26,compositionRange2(),$E$6,$E$7)</f>
        <v>#NAME?</v>
      </c>
      <c r="P26" t="e">
        <f ca="1">density(D26, E26,compositionRange2(),$E$6,$E$7)</f>
        <v>#NAME?</v>
      </c>
      <c r="Q26" t="e">
        <f ca="1">compressibilityFactor(D26, E26,compositionRange2(),$E$6,$E$7)</f>
        <v>#NAME?</v>
      </c>
      <c r="R26" t="e">
        <f ca="1">JouleThomsonCoefficient(D26, E26,compositionRange2(),$E$6,0)</f>
        <v>#NAME?</v>
      </c>
      <c r="S26" t="e">
        <f ca="1">speedOfSound(D26, E26,compositionRange2(),$E$6,0)</f>
        <v>#NAME?</v>
      </c>
      <c r="T26" t="e">
        <f ca="1">gibbsEnergy(D26, E26,compositionRange2(),$E$6,$E$7)</f>
        <v>#NAME?</v>
      </c>
    </row>
    <row r="27" spans="4:20" x14ac:dyDescent="0.55000000000000004">
      <c r="D27">
        <f t="shared" si="0"/>
        <v>10</v>
      </c>
      <c r="E27">
        <f t="shared" si="1"/>
        <v>35</v>
      </c>
      <c r="F27" t="e">
        <f ca="1">enthalpy(D27,E27,compositionRange2(),$E$6,$E$7)</f>
        <v>#NAME?</v>
      </c>
      <c r="G27" t="e">
        <f ca="1">entropy(D27, E27,compositionRange2(),$E$6,$E$7)</f>
        <v>#NAME?</v>
      </c>
      <c r="H27" t="e">
        <f ca="1">molecularWeight(D27, E27,compositionRange2(),$E$6,$E$7)</f>
        <v>#NAME?</v>
      </c>
      <c r="I27" t="e">
        <f ca="1">molFraction(D27, E27,compositionRange2(),$E$6,E$7,E$8)</f>
        <v>#NAME?</v>
      </c>
      <c r="J27" t="e">
        <f ca="1">viscosity(D27, E27,compositionRange2(),$E$6,$E$7)</f>
        <v>#NAME?</v>
      </c>
      <c r="K27" t="e">
        <f ca="1">phaseFraction(D27, E27,compositionRange2(),$E$6,E$7)</f>
        <v>#NAME?</v>
      </c>
      <c r="L27" t="e">
        <f ca="1">internalEnergy(D27, E27,compositionRange2(),$E$6,$E$7)</f>
        <v>#NAME?</v>
      </c>
      <c r="M27" t="e">
        <f ca="1">Cp(D27, E27,compositionRange2(),$E$6,$E$7)</f>
        <v>#NAME?</v>
      </c>
      <c r="N27" t="e">
        <f ca="1">Cv(D27, E27,compositionRange2(),$E$6,$E$7)</f>
        <v>#NAME?</v>
      </c>
      <c r="O27" t="e">
        <f ca="1">conductivity(D27, E27,compositionRange2(),$E$6,$E$7)</f>
        <v>#NAME?</v>
      </c>
      <c r="P27" t="e">
        <f ca="1">density(D27, E27,compositionRange2(),$E$6,$E$7)</f>
        <v>#NAME?</v>
      </c>
      <c r="Q27" t="e">
        <f ca="1">compressibilityFactor(D27, E27,compositionRange2(),$E$6,$E$7)</f>
        <v>#NAME?</v>
      </c>
      <c r="R27" t="e">
        <f ca="1">JouleThomsonCoefficient(D27, E27,compositionRange2(),$E$6,0)</f>
        <v>#NAME?</v>
      </c>
      <c r="S27" t="e">
        <f ca="1">speedOfSound(D27, E27,compositionRange2(),$E$6,0)</f>
        <v>#NAME?</v>
      </c>
      <c r="T27" t="e">
        <f ca="1">gibbsEnergy(D27, E27,compositionRange2(),$E$6,$E$7)</f>
        <v>#NAME?</v>
      </c>
    </row>
    <row r="28" spans="4:20" x14ac:dyDescent="0.55000000000000004">
      <c r="D28">
        <f t="shared" si="0"/>
        <v>15</v>
      </c>
      <c r="E28">
        <f t="shared" ref="E28:E42" si="2">E27</f>
        <v>35</v>
      </c>
      <c r="F28" t="e">
        <f ca="1">enthalpy(D28,E28,compositionRange2(),$E$6,$E$7)</f>
        <v>#NAME?</v>
      </c>
      <c r="G28" t="e">
        <f ca="1">entropy(D28, E28,compositionRange2(),$E$6,$E$7)</f>
        <v>#NAME?</v>
      </c>
      <c r="H28" t="e">
        <f ca="1">molecularWeight(D28, E28,compositionRange2(),$E$6,$E$7)</f>
        <v>#NAME?</v>
      </c>
      <c r="I28" t="e">
        <f ca="1">molFraction(D28, E28,compositionRange2(),$E$6,E$7,E$8)</f>
        <v>#NAME?</v>
      </c>
      <c r="J28" t="e">
        <f ca="1">viscosity(D28, E28,compositionRange2(),$E$6,$E$7)</f>
        <v>#NAME?</v>
      </c>
      <c r="K28" t="e">
        <f ca="1">phaseFraction(D28, E28,compositionRange2(),$E$6,E$7)</f>
        <v>#NAME?</v>
      </c>
      <c r="L28" t="e">
        <f ca="1">internalEnergy(D28, E28,compositionRange2(),$E$6,$E$7)</f>
        <v>#NAME?</v>
      </c>
      <c r="M28" t="e">
        <f ca="1">Cp(D28, E28,compositionRange2(),$E$6,$E$7)</f>
        <v>#NAME?</v>
      </c>
      <c r="N28" t="e">
        <f ca="1">Cv(D28, E28,compositionRange2(),$E$6,$E$7)</f>
        <v>#NAME?</v>
      </c>
      <c r="O28" t="e">
        <f ca="1">conductivity(D28, E28,compositionRange2(),$E$6,$E$7)</f>
        <v>#NAME?</v>
      </c>
      <c r="P28" t="e">
        <f ca="1">density(D28, E28,compositionRange2(),$E$6,$E$7)</f>
        <v>#NAME?</v>
      </c>
      <c r="Q28" t="e">
        <f ca="1">compressibilityFactor(D28, E28,compositionRange2(),$E$6,$E$7)</f>
        <v>#NAME?</v>
      </c>
      <c r="R28" t="e">
        <f ca="1">JouleThomsonCoefficient(D28, E28,compositionRange2(),$E$6,0)</f>
        <v>#NAME?</v>
      </c>
      <c r="S28" t="e">
        <f ca="1">speedOfSound(D28, E28,compositionRange2(),$E$6,0)</f>
        <v>#NAME?</v>
      </c>
      <c r="T28" t="e">
        <f ca="1">gibbsEnergy(D28, E28,compositionRange2(),$E$6,$E$7)</f>
        <v>#NAME?</v>
      </c>
    </row>
    <row r="29" spans="4:20" x14ac:dyDescent="0.55000000000000004">
      <c r="D29">
        <f t="shared" si="0"/>
        <v>20</v>
      </c>
      <c r="E29">
        <f t="shared" si="2"/>
        <v>35</v>
      </c>
      <c r="F29" t="e">
        <f ca="1">enthalpy(D29,E29,compositionRange2(),$E$6,$E$7)</f>
        <v>#NAME?</v>
      </c>
      <c r="G29" t="e">
        <f ca="1">entropy(D29, E29,compositionRange2(),$E$6,$E$7)</f>
        <v>#NAME?</v>
      </c>
      <c r="H29" t="e">
        <f ca="1">molecularWeight(D29, E29,compositionRange2(),$E$6,$E$7)</f>
        <v>#NAME?</v>
      </c>
      <c r="I29" t="e">
        <f ca="1">molFraction(D29, E29,compositionRange2(),$E$6,E$7,E$8)</f>
        <v>#NAME?</v>
      </c>
      <c r="J29" t="e">
        <f ca="1">viscosity(D29, E29,compositionRange2(),$E$6,$E$7)</f>
        <v>#NAME?</v>
      </c>
      <c r="K29" t="e">
        <f ca="1">phaseFraction(D29, E29,compositionRange2(),$E$6,E$7)</f>
        <v>#NAME?</v>
      </c>
      <c r="L29" t="e">
        <f ca="1">internalEnergy(D29, E29,compositionRange2(),$E$6,$E$7)</f>
        <v>#NAME?</v>
      </c>
      <c r="M29" t="e">
        <f ca="1">Cp(D29, E29,compositionRange2(),$E$6,$E$7)</f>
        <v>#NAME?</v>
      </c>
      <c r="N29" t="e">
        <f ca="1">Cv(D29, E29,compositionRange2(),$E$6,$E$7)</f>
        <v>#NAME?</v>
      </c>
      <c r="O29" t="e">
        <f ca="1">conductivity(D29, E29,compositionRange2(),$E$6,$E$7)</f>
        <v>#NAME?</v>
      </c>
      <c r="P29" t="e">
        <f ca="1">density(D29, E29,compositionRange2(),$E$6,$E$7)</f>
        <v>#NAME?</v>
      </c>
      <c r="Q29" t="e">
        <f ca="1">compressibilityFactor(D29, E29,compositionRange2(),$E$6,$E$7)</f>
        <v>#NAME?</v>
      </c>
      <c r="R29" t="e">
        <f ca="1">JouleThomsonCoefficient(D29, E29,compositionRange2(),$E$6,0)</f>
        <v>#NAME?</v>
      </c>
      <c r="S29" t="e">
        <f ca="1">speedOfSound(D29, E29,compositionRange2(),$E$6,0)</f>
        <v>#NAME?</v>
      </c>
      <c r="T29" t="e">
        <f ca="1">gibbsEnergy(D29, E29,compositionRange2(),$E$6,$E$7)</f>
        <v>#NAME?</v>
      </c>
    </row>
    <row r="30" spans="4:20" x14ac:dyDescent="0.55000000000000004">
      <c r="D30">
        <f t="shared" si="0"/>
        <v>25</v>
      </c>
      <c r="E30">
        <f t="shared" si="2"/>
        <v>35</v>
      </c>
      <c r="F30" t="e">
        <f ca="1">enthalpy(D30,E30,compositionRange2(),$E$6,$E$7)</f>
        <v>#NAME?</v>
      </c>
      <c r="G30" t="e">
        <f ca="1">entropy(D30, E30,compositionRange2(),$E$6,$E$7)</f>
        <v>#NAME?</v>
      </c>
      <c r="H30" t="e">
        <f ca="1">molecularWeight(D30, E30,compositionRange2(),$E$6,$E$7)</f>
        <v>#NAME?</v>
      </c>
      <c r="I30" t="e">
        <f ca="1">molFraction(D30, E30,compositionRange2(),$E$6,E$7,E$8)</f>
        <v>#NAME?</v>
      </c>
      <c r="J30" t="e">
        <f ca="1">viscosity(D30, E30,compositionRange2(),$E$6,$E$7)</f>
        <v>#NAME?</v>
      </c>
      <c r="K30" t="e">
        <f ca="1">phaseFraction(D30, E30,compositionRange2(),$E$6,E$7)</f>
        <v>#NAME?</v>
      </c>
      <c r="L30" t="e">
        <f ca="1">internalEnergy(D30, E30,compositionRange2(),$E$6,$E$7)</f>
        <v>#NAME?</v>
      </c>
      <c r="M30" t="e">
        <f ca="1">Cp(D30, E30,compositionRange2(),$E$6,$E$7)</f>
        <v>#NAME?</v>
      </c>
      <c r="N30" t="e">
        <f ca="1">Cv(D30, E30,compositionRange2(),$E$6,$E$7)</f>
        <v>#NAME?</v>
      </c>
      <c r="O30" t="e">
        <f ca="1">conductivity(D30, E30,compositionRange2(),$E$6,$E$7)</f>
        <v>#NAME?</v>
      </c>
      <c r="P30" t="e">
        <f ca="1">density(D30, E30,compositionRange2(),$E$6,$E$7)</f>
        <v>#NAME?</v>
      </c>
      <c r="Q30" t="e">
        <f ca="1">compressibilityFactor(D30, E30,compositionRange2(),$E$6,$E$7)</f>
        <v>#NAME?</v>
      </c>
      <c r="R30" t="e">
        <f ca="1">JouleThomsonCoefficient(D30, E30,compositionRange2(),$E$6,0)</f>
        <v>#NAME?</v>
      </c>
      <c r="S30" t="e">
        <f ca="1">speedOfSound(D30, E30,compositionRange2(),$E$6,0)</f>
        <v>#NAME?</v>
      </c>
      <c r="T30" t="e">
        <f ca="1">gibbsEnergy(D30, E30,compositionRange2(),$E$6,$E$7)</f>
        <v>#NAME?</v>
      </c>
    </row>
    <row r="31" spans="4:20" x14ac:dyDescent="0.55000000000000004">
      <c r="D31">
        <f t="shared" si="0"/>
        <v>30</v>
      </c>
      <c r="E31">
        <f t="shared" si="2"/>
        <v>35</v>
      </c>
      <c r="F31" t="e">
        <f ca="1">enthalpy(D31,E31,compositionRange2(),$E$6,$E$7)</f>
        <v>#NAME?</v>
      </c>
      <c r="G31" t="e">
        <f ca="1">entropy(D31, E31,compositionRange2(),$E$6,$E$7)</f>
        <v>#NAME?</v>
      </c>
      <c r="H31" t="e">
        <f ca="1">molecularWeight(D31, E31,compositionRange2(),$E$6,$E$7)</f>
        <v>#NAME?</v>
      </c>
      <c r="I31" t="e">
        <f ca="1">molFraction(D31, E31,compositionRange2(),$E$6,E$7,E$8)</f>
        <v>#NAME?</v>
      </c>
      <c r="J31" t="e">
        <f ca="1">viscosity(D31, E31,compositionRange2(),$E$6,$E$7)</f>
        <v>#NAME?</v>
      </c>
      <c r="K31" t="e">
        <f ca="1">phaseFraction(D31, E31,compositionRange2(),$E$6,E$7)</f>
        <v>#NAME?</v>
      </c>
      <c r="L31" t="e">
        <f ca="1">internalEnergy(D31, E31,compositionRange2(),$E$6,$E$7)</f>
        <v>#NAME?</v>
      </c>
      <c r="M31" t="e">
        <f ca="1">Cp(D31, E31,compositionRange2(),$E$6,$E$7)</f>
        <v>#NAME?</v>
      </c>
      <c r="N31" t="e">
        <f ca="1">Cv(D31, E31,compositionRange2(),$E$6,$E$7)</f>
        <v>#NAME?</v>
      </c>
      <c r="O31" t="e">
        <f ca="1">conductivity(D31, E31,compositionRange2(),$E$6,$E$7)</f>
        <v>#NAME?</v>
      </c>
      <c r="P31" t="e">
        <f ca="1">density(D31, E31,compositionRange2(),$E$6,$E$7)</f>
        <v>#NAME?</v>
      </c>
      <c r="Q31" t="e">
        <f ca="1">compressibilityFactor(D31, E31,compositionRange2(),$E$6,$E$7)</f>
        <v>#NAME?</v>
      </c>
      <c r="R31" t="e">
        <f ca="1">JouleThomsonCoefficient(D31, E31,compositionRange2(),$E$6,0)</f>
        <v>#NAME?</v>
      </c>
      <c r="S31" t="e">
        <f ca="1">speedOfSound(D31, E31,compositionRange2(),$E$6,0)</f>
        <v>#NAME?</v>
      </c>
      <c r="T31" t="e">
        <f ca="1">gibbsEnergy(D31, E31,compositionRange2(),$E$6,$E$7)</f>
        <v>#NAME?</v>
      </c>
    </row>
    <row r="32" spans="4:20" x14ac:dyDescent="0.55000000000000004">
      <c r="D32">
        <f t="shared" si="0"/>
        <v>35</v>
      </c>
      <c r="E32">
        <f t="shared" si="2"/>
        <v>35</v>
      </c>
      <c r="F32" t="e">
        <f ca="1">enthalpy(D32,E32,compositionRange2(),$E$6,$E$7)</f>
        <v>#NAME?</v>
      </c>
      <c r="G32" t="e">
        <f ca="1">entropy(D32, E32,compositionRange2(),$E$6,$E$7)</f>
        <v>#NAME?</v>
      </c>
      <c r="H32" t="e">
        <f ca="1">molecularWeight(D32, E32,compositionRange2(),$E$6,$E$7)</f>
        <v>#NAME?</v>
      </c>
      <c r="I32" t="e">
        <f ca="1">molFraction(D32, E32,compositionRange2(),$E$6,E$7,E$8)</f>
        <v>#NAME?</v>
      </c>
      <c r="J32" t="e">
        <f ca="1">viscosity(D32, E32,compositionRange2(),$E$6,$E$7)</f>
        <v>#NAME?</v>
      </c>
      <c r="K32" t="e">
        <f ca="1">phaseFraction(D32, E32,compositionRange2(),$E$6,E$7)</f>
        <v>#NAME?</v>
      </c>
      <c r="L32" t="e">
        <f ca="1">internalEnergy(D32, E32,compositionRange2(),$E$6,$E$7)</f>
        <v>#NAME?</v>
      </c>
      <c r="M32" t="e">
        <f ca="1">Cp(D32, E32,compositionRange2(),$E$6,$E$7)</f>
        <v>#NAME?</v>
      </c>
      <c r="N32" t="e">
        <f ca="1">Cv(D32, E32,compositionRange2(),$E$6,$E$7)</f>
        <v>#NAME?</v>
      </c>
      <c r="O32" t="e">
        <f ca="1">conductivity(D32, E32,compositionRange2(),$E$6,$E$7)</f>
        <v>#NAME?</v>
      </c>
      <c r="P32" t="e">
        <f ca="1">density(D32, E32,compositionRange2(),$E$6,$E$7)</f>
        <v>#NAME?</v>
      </c>
      <c r="Q32" t="e">
        <f ca="1">compressibilityFactor(D32, E32,compositionRange2(),$E$6,$E$7)</f>
        <v>#NAME?</v>
      </c>
      <c r="R32" t="e">
        <f ca="1">JouleThomsonCoefficient(D32, E32,compositionRange2(),$E$6,0)</f>
        <v>#NAME?</v>
      </c>
      <c r="S32" t="e">
        <f ca="1">speedOfSound(D32, E32,compositionRange2(),$E$6,0)</f>
        <v>#NAME?</v>
      </c>
      <c r="T32" t="e">
        <f ca="1">gibbsEnergy(D32, E32,compositionRange2(),$E$6,$E$7)</f>
        <v>#NAME?</v>
      </c>
    </row>
    <row r="33" spans="4:20" x14ac:dyDescent="0.55000000000000004">
      <c r="D33">
        <f t="shared" si="0"/>
        <v>40</v>
      </c>
      <c r="E33">
        <f t="shared" si="2"/>
        <v>35</v>
      </c>
      <c r="F33" t="e">
        <f ca="1">enthalpy(D33,E33,compositionRange2(),$E$6,$E$7)</f>
        <v>#NAME?</v>
      </c>
      <c r="G33" t="e">
        <f ca="1">entropy(D33, E33,compositionRange2(),$E$6,$E$7)</f>
        <v>#NAME?</v>
      </c>
      <c r="H33" t="e">
        <f ca="1">molecularWeight(D33, E33,compositionRange2(),$E$6,$E$7)</f>
        <v>#NAME?</v>
      </c>
      <c r="I33" t="e">
        <f ca="1">molFraction(D33, E33,compositionRange2(),$E$6,E$7,E$8)</f>
        <v>#NAME?</v>
      </c>
      <c r="J33" t="e">
        <f ca="1">viscosity(D33, E33,compositionRange2(),$E$6,$E$7)</f>
        <v>#NAME?</v>
      </c>
      <c r="K33" t="e">
        <f ca="1">phaseFraction(D33, E33,compositionRange2(),$E$6,E$7)</f>
        <v>#NAME?</v>
      </c>
      <c r="L33" t="e">
        <f ca="1">internalEnergy(D33, E33,compositionRange2(),$E$6,$E$7)</f>
        <v>#NAME?</v>
      </c>
      <c r="M33" t="e">
        <f ca="1">Cp(D33, E33,compositionRange2(),$E$6,$E$7)</f>
        <v>#NAME?</v>
      </c>
      <c r="N33" t="e">
        <f ca="1">Cv(D33, E33,compositionRange2(),$E$6,$E$7)</f>
        <v>#NAME?</v>
      </c>
      <c r="O33" t="e">
        <f ca="1">conductivity(D33, E33,compositionRange2(),$E$6,$E$7)</f>
        <v>#NAME?</v>
      </c>
      <c r="P33" t="e">
        <f ca="1">density(D33, E33,compositionRange2(),$E$6,$E$7)</f>
        <v>#NAME?</v>
      </c>
      <c r="Q33" t="e">
        <f ca="1">compressibilityFactor(D33, E33,compositionRange2(),$E$6,$E$7)</f>
        <v>#NAME?</v>
      </c>
      <c r="R33" t="e">
        <f ca="1">JouleThomsonCoefficient(D33, E33,compositionRange2(),$E$6,0)</f>
        <v>#NAME?</v>
      </c>
      <c r="S33" t="e">
        <f ca="1">speedOfSound(D33, E33,compositionRange2(),$E$6,0)</f>
        <v>#NAME?</v>
      </c>
      <c r="T33" t="e">
        <f ca="1">gibbsEnergy(D33, E33,compositionRange2(),$E$6,$E$7)</f>
        <v>#NAME?</v>
      </c>
    </row>
    <row r="34" spans="4:20" x14ac:dyDescent="0.55000000000000004">
      <c r="D34">
        <f t="shared" si="0"/>
        <v>45</v>
      </c>
      <c r="E34">
        <f t="shared" si="2"/>
        <v>35</v>
      </c>
      <c r="F34" t="e">
        <f ca="1">enthalpy(D34,E34,compositionRange2(),$E$6,$E$7)</f>
        <v>#NAME?</v>
      </c>
      <c r="G34" t="e">
        <f ca="1">entropy(D34, E34,compositionRange2(),$E$6,$E$7)</f>
        <v>#NAME?</v>
      </c>
      <c r="H34" t="e">
        <f ca="1">molecularWeight(D34, E34,compositionRange2(),$E$6,$E$7)</f>
        <v>#NAME?</v>
      </c>
      <c r="I34" t="e">
        <f ca="1">molFraction(D34, E34,compositionRange2(),$E$6,E$7,E$8)</f>
        <v>#NAME?</v>
      </c>
      <c r="J34" t="e">
        <f ca="1">viscosity(D34, E34,compositionRange2(),$E$6,$E$7)</f>
        <v>#NAME?</v>
      </c>
      <c r="K34" t="e">
        <f ca="1">phaseFraction(D34, E34,compositionRange2(),$E$6,E$7)</f>
        <v>#NAME?</v>
      </c>
      <c r="L34" t="e">
        <f ca="1">internalEnergy(D34, E34,compositionRange2(),$E$6,$E$7)</f>
        <v>#NAME?</v>
      </c>
      <c r="M34" t="e">
        <f ca="1">Cp(D34, E34,compositionRange2(),$E$6,$E$7)</f>
        <v>#NAME?</v>
      </c>
      <c r="N34" t="e">
        <f ca="1">Cv(D34, E34,compositionRange2(),$E$6,$E$7)</f>
        <v>#NAME?</v>
      </c>
      <c r="O34" t="e">
        <f ca="1">conductivity(D34, E34,compositionRange2(),$E$6,$E$7)</f>
        <v>#NAME?</v>
      </c>
      <c r="P34" t="e">
        <f ca="1">density(D34, E34,compositionRange2(),$E$6,$E$7)</f>
        <v>#NAME?</v>
      </c>
      <c r="Q34" t="e">
        <f ca="1">compressibilityFactor(D34, E34,compositionRange2(),$E$6,$E$7)</f>
        <v>#NAME?</v>
      </c>
      <c r="R34" t="e">
        <f ca="1">JouleThomsonCoefficient(D34, E34,compositionRange2(),$E$6,0)</f>
        <v>#NAME?</v>
      </c>
      <c r="S34" t="e">
        <f ca="1">speedOfSound(D34, E34,compositionRange2(),$E$6,0)</f>
        <v>#NAME?</v>
      </c>
      <c r="T34" t="e">
        <f ca="1">gibbsEnergy(D34, E34,compositionRange2(),$E$6,$E$7)</f>
        <v>#NAME?</v>
      </c>
    </row>
    <row r="35" spans="4:20" x14ac:dyDescent="0.55000000000000004">
      <c r="D35">
        <f t="shared" si="0"/>
        <v>50</v>
      </c>
      <c r="E35">
        <f t="shared" si="2"/>
        <v>35</v>
      </c>
      <c r="F35" t="e">
        <f ca="1">enthalpy(D35,E35,compositionRange2(),$E$6,$E$7)</f>
        <v>#NAME?</v>
      </c>
      <c r="G35" t="e">
        <f ca="1">entropy(D35, E35,compositionRange2(),$E$6,$E$7)</f>
        <v>#NAME?</v>
      </c>
      <c r="H35" t="e">
        <f ca="1">molecularWeight(D35, E35,compositionRange2(),$E$6,$E$7)</f>
        <v>#NAME?</v>
      </c>
      <c r="I35" t="e">
        <f ca="1">molFraction(D35, E35,compositionRange2(),$E$6,E$7,E$8)</f>
        <v>#NAME?</v>
      </c>
      <c r="J35" t="e">
        <f ca="1">viscosity(D35, E35,compositionRange2(),$E$6,$E$7)</f>
        <v>#NAME?</v>
      </c>
      <c r="K35" t="e">
        <f ca="1">phaseFraction(D35, E35,compositionRange2(),$E$6,E$7)</f>
        <v>#NAME?</v>
      </c>
      <c r="L35" t="e">
        <f ca="1">internalEnergy(D35, E35,compositionRange2(),$E$6,$E$7)</f>
        <v>#NAME?</v>
      </c>
      <c r="M35" t="e">
        <f ca="1">Cp(D35, E35,compositionRange2(),$E$6,$E$7)</f>
        <v>#NAME?</v>
      </c>
      <c r="N35" t="e">
        <f ca="1">Cv(D35, E35,compositionRange2(),$E$6,$E$7)</f>
        <v>#NAME?</v>
      </c>
      <c r="O35" t="e">
        <f ca="1">conductivity(D35, E35,compositionRange2(),$E$6,$E$7)</f>
        <v>#NAME?</v>
      </c>
      <c r="P35" t="e">
        <f ca="1">density(D35, E35,compositionRange2(),$E$6,$E$7)</f>
        <v>#NAME?</v>
      </c>
      <c r="Q35" t="e">
        <f ca="1">compressibilityFactor(D35, E35,compositionRange2(),$E$6,$E$7)</f>
        <v>#NAME?</v>
      </c>
      <c r="R35" t="e">
        <f ca="1">JouleThomsonCoefficient(D35, E35,compositionRange2(),$E$6,0)</f>
        <v>#NAME?</v>
      </c>
      <c r="S35" t="e">
        <f ca="1">speedOfSound(D35, E35,compositionRange2(),$E$6,0)</f>
        <v>#NAME?</v>
      </c>
      <c r="T35" t="e">
        <f ca="1">gibbsEnergy(D35, E35,compositionRange2(),$E$6,$E$7)</f>
        <v>#NAME?</v>
      </c>
    </row>
    <row r="36" spans="4:20" x14ac:dyDescent="0.55000000000000004">
      <c r="D36">
        <f t="shared" si="0"/>
        <v>55</v>
      </c>
      <c r="E36">
        <f t="shared" si="2"/>
        <v>35</v>
      </c>
      <c r="F36" t="e">
        <f ca="1">enthalpy(D36,E36,compositionRange2(),$E$6,$E$7)</f>
        <v>#NAME?</v>
      </c>
      <c r="G36" t="e">
        <f ca="1">entropy(D36, E36,compositionRange2(),$E$6,$E$7)</f>
        <v>#NAME?</v>
      </c>
      <c r="H36" t="e">
        <f ca="1">molecularWeight(D36, E36,compositionRange2(),$E$6,$E$7)</f>
        <v>#NAME?</v>
      </c>
      <c r="I36" t="e">
        <f ca="1">molFraction(D36, E36,compositionRange2(),$E$6,E$7,E$8)</f>
        <v>#NAME?</v>
      </c>
      <c r="J36" t="e">
        <f ca="1">viscosity(D36, E36,compositionRange2(),$E$6,$E$7)</f>
        <v>#NAME?</v>
      </c>
      <c r="K36" t="e">
        <f ca="1">phaseFraction(D36, E36,compositionRange2(),$E$6,E$7)</f>
        <v>#NAME?</v>
      </c>
      <c r="L36" t="e">
        <f ca="1">internalEnergy(D36, E36,compositionRange2(),$E$6,$E$7)</f>
        <v>#NAME?</v>
      </c>
      <c r="M36" t="e">
        <f ca="1">Cp(D36, E36,compositionRange2(),$E$6,$E$7)</f>
        <v>#NAME?</v>
      </c>
      <c r="N36" t="e">
        <f ca="1">Cv(D36, E36,compositionRange2(),$E$6,$E$7)</f>
        <v>#NAME?</v>
      </c>
      <c r="O36" t="e">
        <f ca="1">conductivity(D36, E36,compositionRange2(),$E$6,$E$7)</f>
        <v>#NAME?</v>
      </c>
      <c r="P36" t="e">
        <f ca="1">density(D36, E36,compositionRange2(),$E$6,$E$7)</f>
        <v>#NAME?</v>
      </c>
      <c r="Q36" t="e">
        <f ca="1">compressibilityFactor(D36, E36,compositionRange2(),$E$6,$E$7)</f>
        <v>#NAME?</v>
      </c>
      <c r="R36" t="e">
        <f ca="1">JouleThomsonCoefficient(D36, E36,compositionRange2(),$E$6,0)</f>
        <v>#NAME?</v>
      </c>
      <c r="S36" t="e">
        <f ca="1">speedOfSound(D36, E36,compositionRange2(),$E$6,0)</f>
        <v>#NAME?</v>
      </c>
      <c r="T36" t="e">
        <f ca="1">gibbsEnergy(D36, E36,compositionRange2(),$E$6,$E$7)</f>
        <v>#NAME?</v>
      </c>
    </row>
    <row r="37" spans="4:20" x14ac:dyDescent="0.55000000000000004">
      <c r="D37">
        <f t="shared" si="0"/>
        <v>60</v>
      </c>
      <c r="E37">
        <f t="shared" si="2"/>
        <v>35</v>
      </c>
      <c r="F37" t="e">
        <f ca="1">enthalpy(D37,E37,compositionRange2(),$E$6,$E$7)</f>
        <v>#NAME?</v>
      </c>
      <c r="G37" t="e">
        <f ca="1">entropy(D37, E37,compositionRange2(),$E$6,$E$7)</f>
        <v>#NAME?</v>
      </c>
      <c r="H37" t="e">
        <f ca="1">molecularWeight(D37, E37,compositionRange2(),$E$6,$E$7)</f>
        <v>#NAME?</v>
      </c>
      <c r="I37" t="e">
        <f ca="1">molFraction(D37, E37,compositionRange2(),$E$6,E$7,E$8)</f>
        <v>#NAME?</v>
      </c>
      <c r="J37" t="e">
        <f ca="1">viscosity(D37, E37,compositionRange2(),$E$6,$E$7)</f>
        <v>#NAME?</v>
      </c>
      <c r="K37" t="e">
        <f ca="1">phaseFraction(D37, E37,compositionRange2(),$E$6,E$7)</f>
        <v>#NAME?</v>
      </c>
      <c r="L37" t="e">
        <f ca="1">internalEnergy(D37, E37,compositionRange2(),$E$6,$E$7)</f>
        <v>#NAME?</v>
      </c>
      <c r="M37" t="e">
        <f ca="1">Cp(D37, E37,compositionRange2(),$E$6,$E$7)</f>
        <v>#NAME?</v>
      </c>
      <c r="N37" t="e">
        <f ca="1">Cv(D37, E37,compositionRange2(),$E$6,$E$7)</f>
        <v>#NAME?</v>
      </c>
      <c r="O37" t="e">
        <f ca="1">conductivity(D37, E37,compositionRange2(),$E$6,$E$7)</f>
        <v>#NAME?</v>
      </c>
      <c r="P37" t="e">
        <f ca="1">density(D37, E37,compositionRange2(),$E$6,$E$7)</f>
        <v>#NAME?</v>
      </c>
      <c r="Q37" t="e">
        <f ca="1">compressibilityFactor(D37, E37,compositionRange2(),$E$6,$E$7)</f>
        <v>#NAME?</v>
      </c>
      <c r="R37" t="e">
        <f ca="1">JouleThomsonCoefficient(D37, E37,compositionRange2(),$E$6,0)</f>
        <v>#NAME?</v>
      </c>
      <c r="S37" t="e">
        <f ca="1">speedOfSound(D37, E37,compositionRange2(),$E$6,0)</f>
        <v>#NAME?</v>
      </c>
      <c r="T37" t="e">
        <f ca="1">gibbsEnergy(D37, E37,compositionRange2(),$E$6,$E$7)</f>
        <v>#NAME?</v>
      </c>
    </row>
    <row r="38" spans="4:20" x14ac:dyDescent="0.55000000000000004">
      <c r="D38">
        <f t="shared" si="0"/>
        <v>65</v>
      </c>
      <c r="E38">
        <f t="shared" si="2"/>
        <v>35</v>
      </c>
      <c r="F38" t="e">
        <f ca="1">enthalpy(D38,E38,compositionRange2(),$E$6,$E$7)</f>
        <v>#NAME?</v>
      </c>
      <c r="G38" t="e">
        <f ca="1">entropy(D38, E38,compositionRange2(),$E$6,$E$7)</f>
        <v>#NAME?</v>
      </c>
      <c r="H38" t="e">
        <f ca="1">molecularWeight(D38, E38,compositionRange2(),$E$6,$E$7)</f>
        <v>#NAME?</v>
      </c>
      <c r="I38" t="e">
        <f ca="1">molFraction(D38, E38,compositionRange2(),$E$6,E$7,E$8)</f>
        <v>#NAME?</v>
      </c>
      <c r="J38" t="e">
        <f ca="1">viscosity(D38, E38,compositionRange2(),$E$6,$E$7)</f>
        <v>#NAME?</v>
      </c>
      <c r="K38" t="e">
        <f ca="1">phaseFraction(D38, E38,compositionRange2(),$E$6,E$7)</f>
        <v>#NAME?</v>
      </c>
      <c r="L38" t="e">
        <f ca="1">internalEnergy(D38, E38,compositionRange2(),$E$6,$E$7)</f>
        <v>#NAME?</v>
      </c>
      <c r="M38" t="e">
        <f ca="1">Cp(D38, E38,compositionRange2(),$E$6,$E$7)</f>
        <v>#NAME?</v>
      </c>
      <c r="N38" t="e">
        <f ca="1">Cv(D38, E38,compositionRange2(),$E$6,$E$7)</f>
        <v>#NAME?</v>
      </c>
      <c r="O38" t="e">
        <f ca="1">conductivity(D38, E38,compositionRange2(),$E$6,$E$7)</f>
        <v>#NAME?</v>
      </c>
      <c r="P38" t="e">
        <f ca="1">density(D38, E38,compositionRange2(),$E$6,$E$7)</f>
        <v>#NAME?</v>
      </c>
      <c r="Q38" t="e">
        <f ca="1">compressibilityFactor(D38, E38,compositionRange2(),$E$6,$E$7)</f>
        <v>#NAME?</v>
      </c>
      <c r="R38" t="e">
        <f ca="1">JouleThomsonCoefficient(D38, E38,compositionRange2(),$E$6,0)</f>
        <v>#NAME?</v>
      </c>
      <c r="S38" t="e">
        <f ca="1">speedOfSound(D38, E38,compositionRange2(),$E$6,0)</f>
        <v>#NAME?</v>
      </c>
      <c r="T38" t="e">
        <f ca="1">gibbsEnergy(D38, E38,compositionRange2(),$E$6,$E$7)</f>
        <v>#NAME?</v>
      </c>
    </row>
    <row r="39" spans="4:20" x14ac:dyDescent="0.55000000000000004">
      <c r="D39">
        <f t="shared" si="0"/>
        <v>70</v>
      </c>
      <c r="E39">
        <f t="shared" si="2"/>
        <v>35</v>
      </c>
      <c r="F39" t="e">
        <f ca="1">enthalpy(D39,E39,compositionRange2(),$E$6,$E$7)</f>
        <v>#NAME?</v>
      </c>
      <c r="G39" t="e">
        <f ca="1">entropy(D39, E39,compositionRange2(),$E$6,$E$7)</f>
        <v>#NAME?</v>
      </c>
      <c r="H39" t="e">
        <f ca="1">molecularWeight(D39, E39,compositionRange2(),$E$6,$E$7)</f>
        <v>#NAME?</v>
      </c>
      <c r="I39" t="e">
        <f ca="1">molFraction(D39, E39,compositionRange2(),$E$6,E$7,E$8)</f>
        <v>#NAME?</v>
      </c>
      <c r="J39" t="e">
        <f ca="1">viscosity(D39, E39,compositionRange2(),$E$6,$E$7)</f>
        <v>#NAME?</v>
      </c>
      <c r="K39" t="e">
        <f ca="1">phaseFraction(D39, E39,compositionRange2(),$E$6,E$7)</f>
        <v>#NAME?</v>
      </c>
      <c r="L39" t="e">
        <f ca="1">internalEnergy(D39, E39,compositionRange2(),$E$6,$E$7)</f>
        <v>#NAME?</v>
      </c>
      <c r="M39" t="e">
        <f ca="1">Cp(D39, E39,compositionRange2(),$E$6,$E$7)</f>
        <v>#NAME?</v>
      </c>
      <c r="N39" t="e">
        <f ca="1">Cv(D39, E39,compositionRange2(),$E$6,$E$7)</f>
        <v>#NAME?</v>
      </c>
      <c r="O39" t="e">
        <f ca="1">conductivity(D39, E39,compositionRange2(),$E$6,$E$7)</f>
        <v>#NAME?</v>
      </c>
      <c r="P39" t="e">
        <f ca="1">density(D39, E39,compositionRange2(),$E$6,$E$7)</f>
        <v>#NAME?</v>
      </c>
      <c r="Q39" t="e">
        <f ca="1">compressibilityFactor(D39, E39,compositionRange2(),$E$6,$E$7)</f>
        <v>#NAME?</v>
      </c>
      <c r="R39" t="e">
        <f ca="1">JouleThomsonCoefficient(D39, E39,compositionRange2(),$E$6,0)</f>
        <v>#NAME?</v>
      </c>
      <c r="S39" t="e">
        <f ca="1">speedOfSound(D39, E39,compositionRange2(),$E$6,0)</f>
        <v>#NAME?</v>
      </c>
      <c r="T39" t="e">
        <f ca="1">gibbsEnergy(D39, E39,compositionRange2(),$E$6,$E$7)</f>
        <v>#NAME?</v>
      </c>
    </row>
    <row r="40" spans="4:20" x14ac:dyDescent="0.55000000000000004">
      <c r="D40">
        <f t="shared" si="0"/>
        <v>75</v>
      </c>
      <c r="E40">
        <f t="shared" si="2"/>
        <v>35</v>
      </c>
      <c r="F40" t="e">
        <f ca="1">enthalpy(D40,E40,compositionRange2(),$E$6,$E$7)</f>
        <v>#NAME?</v>
      </c>
      <c r="G40" t="e">
        <f ca="1">entropy(D40, E40,compositionRange2(),$E$6,$E$7)</f>
        <v>#NAME?</v>
      </c>
      <c r="H40" t="e">
        <f ca="1">molecularWeight(D40, E40,compositionRange2(),$E$6,$E$7)</f>
        <v>#NAME?</v>
      </c>
      <c r="I40" t="e">
        <f ca="1">molFraction(D40, E40,compositionRange2(),$E$6,E$7,E$8)</f>
        <v>#NAME?</v>
      </c>
      <c r="J40" t="e">
        <f ca="1">viscosity(D40, E40,compositionRange2(),$E$6,$E$7)</f>
        <v>#NAME?</v>
      </c>
      <c r="K40" t="e">
        <f ca="1">phaseFraction(D40, E40,compositionRange2(),$E$6,E$7)</f>
        <v>#NAME?</v>
      </c>
      <c r="L40" t="e">
        <f ca="1">internalEnergy(D40, E40,compositionRange2(),$E$6,$E$7)</f>
        <v>#NAME?</v>
      </c>
      <c r="M40" t="e">
        <f ca="1">Cp(D40, E40,compositionRange2(),$E$6,$E$7)</f>
        <v>#NAME?</v>
      </c>
      <c r="N40" t="e">
        <f ca="1">Cv(D40, E40,compositionRange2(),$E$6,$E$7)</f>
        <v>#NAME?</v>
      </c>
      <c r="O40" t="e">
        <f ca="1">conductivity(D40, E40,compositionRange2(),$E$6,$E$7)</f>
        <v>#NAME?</v>
      </c>
      <c r="P40" t="e">
        <f ca="1">density(D40, E40,compositionRange2(),$E$6,$E$7)</f>
        <v>#NAME?</v>
      </c>
      <c r="Q40" t="e">
        <f ca="1">compressibilityFactor(D40, E40,compositionRange2(),$E$6,$E$7)</f>
        <v>#NAME?</v>
      </c>
      <c r="R40" t="e">
        <f ca="1">JouleThomsonCoefficient(D40, E40,compositionRange2(),$E$6,0)</f>
        <v>#NAME?</v>
      </c>
      <c r="S40" t="e">
        <f ca="1">speedOfSound(D40, E40,compositionRange2(),$E$6,0)</f>
        <v>#NAME?</v>
      </c>
      <c r="T40" t="e">
        <f ca="1">gibbsEnergy(D40, E40,compositionRange2(),$E$6,$E$7)</f>
        <v>#NAME?</v>
      </c>
    </row>
    <row r="41" spans="4:20" x14ac:dyDescent="0.55000000000000004">
      <c r="D41">
        <f t="shared" si="0"/>
        <v>80</v>
      </c>
      <c r="E41">
        <f t="shared" si="2"/>
        <v>35</v>
      </c>
      <c r="F41" t="e">
        <f ca="1">enthalpy(D41,E41,compositionRange2(),$E$6,$E$7)</f>
        <v>#NAME?</v>
      </c>
      <c r="G41" t="e">
        <f ca="1">entropy(D41, E41,compositionRange2(),$E$6,$E$7)</f>
        <v>#NAME?</v>
      </c>
      <c r="H41" t="e">
        <f ca="1">molecularWeight(D41, E41,compositionRange2(),$E$6,$E$7)</f>
        <v>#NAME?</v>
      </c>
      <c r="I41" t="e">
        <f ca="1">molFraction(D41, E41,compositionRange2(),$E$6,E$7,E$8)</f>
        <v>#NAME?</v>
      </c>
      <c r="J41" t="e">
        <f ca="1">viscosity(D41, E41,compositionRange2(),$E$6,$E$7)</f>
        <v>#NAME?</v>
      </c>
      <c r="K41" t="e">
        <f ca="1">phaseFraction(D41, E41,compositionRange2(),$E$6,E$7)</f>
        <v>#NAME?</v>
      </c>
      <c r="L41" t="e">
        <f ca="1">internalEnergy(D41, E41,compositionRange2(),$E$6,$E$7)</f>
        <v>#NAME?</v>
      </c>
      <c r="M41" t="e">
        <f ca="1">Cp(D41, E41,compositionRange2(),$E$6,$E$7)</f>
        <v>#NAME?</v>
      </c>
      <c r="N41" t="e">
        <f ca="1">Cv(D41, E41,compositionRange2(),$E$6,$E$7)</f>
        <v>#NAME?</v>
      </c>
      <c r="O41" t="e">
        <f ca="1">conductivity(D41, E41,compositionRange2(),$E$6,$E$7)</f>
        <v>#NAME?</v>
      </c>
      <c r="P41" t="e">
        <f ca="1">density(D41, E41,compositionRange2(),$E$6,$E$7)</f>
        <v>#NAME?</v>
      </c>
      <c r="Q41" t="e">
        <f ca="1">compressibilityFactor(D41, E41,compositionRange2(),$E$6,$E$7)</f>
        <v>#NAME?</v>
      </c>
      <c r="R41" t="e">
        <f ca="1">JouleThomsonCoefficient(D41, E41,compositionRange2(),$E$6,0)</f>
        <v>#NAME?</v>
      </c>
      <c r="S41" t="e">
        <f ca="1">speedOfSound(D41, E41,compositionRange2(),$E$6,0)</f>
        <v>#NAME?</v>
      </c>
      <c r="T41" t="e">
        <f ca="1">gibbsEnergy(D41, E41,compositionRange2(),$E$6,$E$7)</f>
        <v>#NAME?</v>
      </c>
    </row>
    <row r="42" spans="4:20" x14ac:dyDescent="0.55000000000000004">
      <c r="D42">
        <f t="shared" si="0"/>
        <v>85</v>
      </c>
      <c r="E42">
        <f t="shared" si="2"/>
        <v>35</v>
      </c>
      <c r="F42" t="e">
        <f ca="1">enthalpy(D42,E42,compositionRange2(),$E$6,$E$7)</f>
        <v>#NAME?</v>
      </c>
      <c r="G42" t="e">
        <f ca="1">entropy(D42, E42,compositionRange2(),$E$6,$E$7)</f>
        <v>#NAME?</v>
      </c>
      <c r="H42" t="e">
        <f ca="1">molecularWeight(D42, E42,compositionRange2(),$E$6,$E$7)</f>
        <v>#NAME?</v>
      </c>
      <c r="I42" t="e">
        <f ca="1">molFraction(D42, E42,compositionRange2(),$E$6,E$7,E$8)</f>
        <v>#NAME?</v>
      </c>
      <c r="J42" t="e">
        <f ca="1">viscosity(D42, E42,compositionRange2(),$E$6,$E$7)</f>
        <v>#NAME?</v>
      </c>
      <c r="K42" t="e">
        <f ca="1">phaseFraction(D42, E42,compositionRange2(),$E$6,E$7)</f>
        <v>#NAME?</v>
      </c>
      <c r="L42" t="e">
        <f ca="1">internalEnergy(D42, E42,compositionRange2(),$E$6,$E$7)</f>
        <v>#NAME?</v>
      </c>
      <c r="M42" t="e">
        <f ca="1">Cp(D42, E42,compositionRange2(),$E$6,$E$7)</f>
        <v>#NAME?</v>
      </c>
      <c r="N42" t="e">
        <f ca="1">Cv(D42, E42,compositionRange2(),$E$6,$E$7)</f>
        <v>#NAME?</v>
      </c>
      <c r="O42" t="e">
        <f ca="1">conductivity(D42, E42,compositionRange2(),$E$6,$E$7)</f>
        <v>#NAME?</v>
      </c>
      <c r="P42" t="e">
        <f ca="1">density(D42, E42,compositionRange2(),$E$6,$E$7)</f>
        <v>#NAME?</v>
      </c>
      <c r="Q42" t="e">
        <f ca="1">compressibilityFactor(D42, E42,compositionRange2(),$E$6,$E$7)</f>
        <v>#NAME?</v>
      </c>
      <c r="R42" t="e">
        <f ca="1">JouleThomsonCoefficient(D42, E42,compositionRange2(),$E$6,0)</f>
        <v>#NAME?</v>
      </c>
      <c r="S42" t="e">
        <f ca="1">speedOfSound(D42, E42,compositionRange2(),$E$6,0)</f>
        <v>#NAME?</v>
      </c>
      <c r="T42" t="e">
        <f ca="1">gibbsEnergy(D42, E42,compositionRange2(),$E$6,$E$7)</f>
        <v>#NAME?</v>
      </c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678180</xdr:colOff>
                    <xdr:row>8</xdr:row>
                    <xdr:rowOff>144780</xdr:rowOff>
                  </from>
                  <to>
                    <xdr:col>1</xdr:col>
                    <xdr:colOff>762000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02f74cf1-ae9f-400d-bc52-3bcd3a9e177f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F796B6E4F6744989ED8FB83EB08675" ma:contentTypeVersion="12" ma:contentTypeDescription="Create a new document." ma:contentTypeScope="" ma:versionID="bf12837ff7fd9fe7ae07adf3166cc557">
  <xsd:schema xmlns:xsd="http://www.w3.org/2001/XMLSchema" xmlns:xs="http://www.w3.org/2001/XMLSchema" xmlns:p="http://schemas.microsoft.com/office/2006/metadata/properties" xmlns:ns3="0f7dabdb-7e71-494b-82be-87091e745cea" xmlns:ns4="d4d6909a-a9d9-4e1e-ac7f-22b60dd7148e" targetNamespace="http://schemas.microsoft.com/office/2006/metadata/properties" ma:root="true" ma:fieldsID="b5d9fe9a65c19adae4d2371153fa7d72" ns3:_="" ns4:_="">
    <xsd:import namespace="0f7dabdb-7e71-494b-82be-87091e745cea"/>
    <xsd:import namespace="d4d6909a-a9d9-4e1e-ac7f-22b60dd7148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Location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7dabdb-7e71-494b-82be-87091e745ce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6909a-a9d9-4e1e-ac7f-22b60dd7148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398870-4430-41E4-910C-72477EBF141A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0f7dabdb-7e71-494b-82be-87091e745cea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d4d6909a-a9d9-4e1e-ac7f-22b60dd7148e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97A2C3A-0173-401C-8AB2-3822AAD01A7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4FC5FD4-2FF1-4872-9C4F-F778920DC7E8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0768E45C-A689-4A0F-AC6B-ECD8B857A9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f7dabdb-7e71-494b-82be-87091e745cea"/>
    <ds:schemaRef ds:uri="d4d6909a-a9d9-4e1e-ac7f-22b60dd7148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compositionRange</vt:lpstr>
      <vt:lpstr>compRange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Even Solbraa</dc:creator>
  <cp:lastModifiedBy>Even Solbraa</cp:lastModifiedBy>
  <dcterms:created xsi:type="dcterms:W3CDTF">2018-10-19T06:56:15Z</dcterms:created>
  <dcterms:modified xsi:type="dcterms:W3CDTF">2021-12-21T13:37:43Z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0x01010012F796B6E4F6744989ED8FB83EB08675</vt:lpwstr>
  </property>
</Properties>
</file>